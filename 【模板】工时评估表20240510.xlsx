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D:\桌面\"/>
    </mc:Choice>
  </mc:AlternateContent>
  <xr:revisionPtr revIDLastSave="0" documentId="13_ncr:1_{6262264D-F7EA-498C-8DCB-D61D55325704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工时评估汇总表 " sheetId="1" r:id="rId1"/>
    <sheet name="工时评估明细表" sheetId="3" r:id="rId2"/>
    <sheet name="工时标准" sheetId="2" r:id="rId3"/>
    <sheet name="Sheet1" sheetId="4" r:id="rId4"/>
  </sheets>
  <externalReferences>
    <externalReference r:id="rId5"/>
  </externalReferences>
  <definedNames>
    <definedName name="_xlnm._FilterDatabase" localSheetId="0" hidden="1">'工时评估汇总表 '!$T$4:$T$19</definedName>
  </definedNames>
  <calcPr calcId="191029"/>
</workbook>
</file>

<file path=xl/calcChain.xml><?xml version="1.0" encoding="utf-8"?>
<calcChain xmlns="http://schemas.openxmlformats.org/spreadsheetml/2006/main">
  <c r="M4" i="1" l="1"/>
  <c r="N4" i="1"/>
  <c r="O4" i="1"/>
  <c r="P4" i="1"/>
  <c r="L4" i="1"/>
  <c r="J14" i="3"/>
  <c r="J6" i="3"/>
  <c r="J16" i="3"/>
  <c r="J15" i="3"/>
  <c r="J13" i="3"/>
  <c r="J12" i="3"/>
  <c r="J11" i="3"/>
  <c r="J10" i="3"/>
  <c r="J9" i="3"/>
  <c r="J8" i="3"/>
  <c r="J7" i="3"/>
  <c r="J4" i="3"/>
  <c r="J3" i="3"/>
  <c r="J5" i="3"/>
  <c r="F4" i="1" l="1"/>
  <c r="G4" i="1"/>
  <c r="H4" i="1"/>
  <c r="I4" i="1"/>
  <c r="J4" i="1"/>
  <c r="K4" i="1"/>
  <c r="E4" i="1"/>
  <c r="D4" i="1"/>
  <c r="C4" i="1"/>
  <c r="J17" i="3"/>
  <c r="J18" i="3"/>
  <c r="J19" i="3"/>
  <c r="J20" i="3"/>
  <c r="J21" i="3"/>
  <c r="J22" i="3"/>
  <c r="J23" i="3"/>
  <c r="J24" i="3"/>
  <c r="K3" i="3" l="1"/>
  <c r="Q4" i="1" s="1"/>
  <c r="R4" i="1" s="1"/>
  <c r="S4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zzhuang</author>
  </authors>
  <commentList>
    <comment ref="A19" authorId="0" shapeId="0" xr:uid="{0C77DD8A-C566-4033-BF4C-F93F2F3D4659}">
      <text>
        <r>
          <rPr>
            <b/>
            <sz val="9"/>
            <rFont val="宋体"/>
            <family val="3"/>
            <charset val="134"/>
          </rPr>
          <t>报表包含相应的画面、批处理、接口等，工时相斥不可重复提报</t>
        </r>
      </text>
    </comment>
    <comment ref="A29" authorId="0" shapeId="0" xr:uid="{95D0E357-50F7-4B8D-8F4B-CD49331CCD19}">
      <text>
        <r>
          <rPr>
            <sz val="9"/>
            <rFont val="宋体"/>
            <family val="3"/>
            <charset val="134"/>
          </rPr>
          <t xml:space="preserve">涵盖前端与后端接口，系统与系统间接口
</t>
        </r>
      </text>
    </comment>
    <comment ref="B33" authorId="0" shapeId="0" xr:uid="{CE7C6208-F484-497E-AE09-5AB5277FF23A}">
      <text>
        <r>
          <rPr>
            <b/>
            <sz val="9"/>
            <rFont val="宋体"/>
            <family val="3"/>
            <charset val="134"/>
          </rPr>
          <t>只有修改的时候才有的分类</t>
        </r>
        <r>
          <rPr>
            <sz val="9"/>
            <rFont val="宋体"/>
            <family val="3"/>
            <charset val="134"/>
          </rPr>
          <t xml:space="preserve">
</t>
        </r>
      </text>
    </comment>
    <comment ref="B48" authorId="0" shapeId="0" xr:uid="{67CF61A8-11F0-44DC-B381-EBAC061D59FB}">
      <text>
        <r>
          <rPr>
            <b/>
            <sz val="9"/>
            <rFont val="宋体"/>
            <family val="3"/>
            <charset val="134"/>
          </rPr>
          <t>只针对修改类型</t>
        </r>
      </text>
    </comment>
  </commentList>
</comments>
</file>

<file path=xl/sharedStrings.xml><?xml version="1.0" encoding="utf-8"?>
<sst xmlns="http://schemas.openxmlformats.org/spreadsheetml/2006/main" count="256" uniqueCount="167">
  <si>
    <t>类型</t>
  </si>
  <si>
    <t>模块</t>
  </si>
  <si>
    <t>功能点开发数</t>
  </si>
  <si>
    <t>总工时</t>
  </si>
  <si>
    <t>费用(元)</t>
  </si>
  <si>
    <t>小计
(万元)</t>
  </si>
  <si>
    <t>总预算(元)</t>
  </si>
  <si>
    <t>画面</t>
  </si>
  <si>
    <t>报表</t>
  </si>
  <si>
    <t>批处理</t>
  </si>
  <si>
    <t>接口</t>
  </si>
  <si>
    <t>流程</t>
  </si>
  <si>
    <t>导入</t>
  </si>
  <si>
    <t>导出</t>
  </si>
  <si>
    <t>难度系数</t>
  </si>
  <si>
    <t>极高</t>
  </si>
  <si>
    <t>高</t>
  </si>
  <si>
    <t>中</t>
  </si>
  <si>
    <t>低</t>
  </si>
  <si>
    <t>极低</t>
  </si>
  <si>
    <t>分类</t>
  </si>
  <si>
    <t>标准工时（人天）</t>
  </si>
  <si>
    <t>新增</t>
  </si>
  <si>
    <t>修改</t>
  </si>
  <si>
    <t>难度定义</t>
  </si>
  <si>
    <t>等级</t>
  </si>
  <si>
    <t>系数</t>
  </si>
  <si>
    <t>等级定义</t>
  </si>
  <si>
    <t>安卓、IOS、小程序、PC端、H5兼容</t>
  </si>
  <si>
    <t>用户交互逻辑，包括画面拖拽，拣选，</t>
  </si>
  <si>
    <t>页面布局调整</t>
  </si>
  <si>
    <t>纯数据输入与展示</t>
  </si>
  <si>
    <t>1、纯文案类型，单纯对文案进行调整
2、图片/图标替换。</t>
  </si>
  <si>
    <t>多表分析，系统处理逻辑复杂，特殊图表（如动态图表）展示</t>
  </si>
  <si>
    <t>多表分析，涉及自定义的逻辑分析处理</t>
  </si>
  <si>
    <t>多表分析，包含一定的复杂度逻辑分析处理</t>
  </si>
  <si>
    <t>涉及多表的联查，包含简单的汇总分组等逻辑处理</t>
  </si>
  <si>
    <t>单表信息的展示，包含简单的汇总分组等逻辑处理</t>
  </si>
  <si>
    <t>在X&gt;=5 张表数据处理， 复杂逻辑</t>
  </si>
  <si>
    <t>在2&lt;X&lt;5 张表数据处理， 复杂逻辑</t>
  </si>
  <si>
    <t>在2&lt;X&lt;5 张表数据处理， 简答逻辑，数据量&gt;10w</t>
  </si>
  <si>
    <t>在2&lt;X&lt;5 张表数据处理， 简单逻辑，数据量&lt;10w</t>
  </si>
  <si>
    <t>单表数据处理，简单逻辑，数据量&lt;10w</t>
  </si>
  <si>
    <t>表数量&gt;=3复杂的业务逻辑、高复杂的业务规则</t>
  </si>
  <si>
    <t>表数量&gt;=3复杂的业务逻辑、较复杂的业务规则</t>
  </si>
  <si>
    <t>表数量&lt;3的数据对象的交互，处理简单业务规则</t>
  </si>
  <si>
    <t>简单的数据传输，单表数据增删改查的逻辑处理</t>
  </si>
  <si>
    <t>只是对接口名称、参数名称||类型||长度等简单调整</t>
  </si>
  <si>
    <t>有分支流程，并含有迭代、循环等流程，涉及参与节点三个以上</t>
  </si>
  <si>
    <t>有分支流程，涉及参与节点三个以上</t>
  </si>
  <si>
    <t>有分支流程，涉及参与节点三个以下</t>
  </si>
  <si>
    <t>线性流程，涉及参与节点三个以上</t>
  </si>
  <si>
    <t>线性流程，涉及参与节点三个以下</t>
  </si>
  <si>
    <t>特殊格式的文件导入</t>
  </si>
  <si>
    <t>数据量&gt;=10w；进行复杂校验，包括业务逻辑处理</t>
  </si>
  <si>
    <t>数据量&gt;=1w；进行稍微复杂校验，包括异常值处理与与处理结果显示</t>
  </si>
  <si>
    <t>数据量&lt;1w；进行稍微简单校验，包括唯一校验、关联逻辑校验</t>
  </si>
  <si>
    <t>数据量&lt;1w，进行基本的数据验证，包括数据判空，数据类型等</t>
  </si>
  <si>
    <t>有格式要求且复杂度较高的报表导出</t>
  </si>
  <si>
    <t>数据量&gt;=1w，多表关联，有业务模板导出；有固定格式的简单报表导出</t>
  </si>
  <si>
    <t>数据量&lt;1w，多表关联，有业务模板导出</t>
  </si>
  <si>
    <t>数据量&lt;1w，单表数据导出</t>
  </si>
  <si>
    <t>对导出的简单表头、字段名、文件名修改调整;新增一个表单字段</t>
  </si>
  <si>
    <t>功能标准人天定义</t>
    <phoneticPr fontId="9" type="noConversion"/>
  </si>
  <si>
    <t>画面</t>
    <phoneticPr fontId="9" type="noConversion"/>
  </si>
  <si>
    <t>导出</t>
    <phoneticPr fontId="9" type="noConversion"/>
  </si>
  <si>
    <t>新增</t>
    <phoneticPr fontId="9" type="noConversion"/>
  </si>
  <si>
    <t>导入</t>
    <phoneticPr fontId="9" type="noConversion"/>
  </si>
  <si>
    <t>接口</t>
    <phoneticPr fontId="9" type="noConversion"/>
  </si>
  <si>
    <t>批处理</t>
    <phoneticPr fontId="9" type="noConversion"/>
  </si>
  <si>
    <t>报表</t>
    <phoneticPr fontId="9" type="noConversion"/>
  </si>
  <si>
    <t>功能1</t>
    <phoneticPr fontId="9" type="noConversion"/>
  </si>
  <si>
    <t>难度</t>
    <phoneticPr fontId="9" type="noConversion"/>
  </si>
  <si>
    <t>数量</t>
    <phoneticPr fontId="9" type="noConversion"/>
  </si>
  <si>
    <t>分类</t>
    <phoneticPr fontId="9" type="noConversion"/>
  </si>
  <si>
    <t>类别</t>
    <phoneticPr fontId="9" type="noConversion"/>
  </si>
  <si>
    <t>描述</t>
    <phoneticPr fontId="9" type="noConversion"/>
  </si>
  <si>
    <t>功能点</t>
    <phoneticPr fontId="9" type="noConversion"/>
  </si>
  <si>
    <t>功能模块</t>
    <phoneticPr fontId="9" type="noConversion"/>
  </si>
  <si>
    <t>备注</t>
    <phoneticPr fontId="9" type="noConversion"/>
  </si>
  <si>
    <t>工时</t>
    <phoneticPr fontId="9" type="noConversion"/>
  </si>
  <si>
    <t>序号</t>
    <phoneticPr fontId="9" type="noConversion"/>
  </si>
  <si>
    <t>小计</t>
    <phoneticPr fontId="9" type="noConversion"/>
  </si>
  <si>
    <t>模块</t>
    <phoneticPr fontId="9" type="noConversion"/>
  </si>
  <si>
    <t>一级功能</t>
    <phoneticPr fontId="9" type="noConversion"/>
  </si>
  <si>
    <t>二级功能</t>
    <phoneticPr fontId="9" type="noConversion"/>
  </si>
  <si>
    <t>*注意：需要预留云资源</t>
    <phoneticPr fontId="9" type="noConversion"/>
  </si>
  <si>
    <t>云资源</t>
    <phoneticPr fontId="9" type="noConversion"/>
  </si>
  <si>
    <t>GRT销售</t>
    <phoneticPr fontId="9" type="noConversion"/>
  </si>
  <si>
    <t>功能描述</t>
    <phoneticPr fontId="9" type="noConversion"/>
  </si>
  <si>
    <t>子功能1</t>
    <phoneticPr fontId="9" type="noConversion"/>
  </si>
  <si>
    <t>子功能2</t>
    <phoneticPr fontId="9" type="noConversion"/>
  </si>
  <si>
    <t>高</t>
    <phoneticPr fontId="9" type="noConversion"/>
  </si>
  <si>
    <t>大圣外采</t>
    <phoneticPr fontId="9" type="noConversion"/>
  </si>
  <si>
    <t>大圣自研</t>
    <phoneticPr fontId="9" type="noConversion"/>
  </si>
  <si>
    <t>新增画面极高</t>
  </si>
  <si>
    <t>新增画面高</t>
  </si>
  <si>
    <t>新增画面中</t>
  </si>
  <si>
    <t>新增画面低</t>
  </si>
  <si>
    <t>新增画面极低</t>
  </si>
  <si>
    <t>新增报表极高</t>
  </si>
  <si>
    <t>新增报表高</t>
  </si>
  <si>
    <t>新增报表中</t>
  </si>
  <si>
    <t>新增报表低</t>
  </si>
  <si>
    <t>新增报表极低</t>
  </si>
  <si>
    <t>新增批处理极高</t>
  </si>
  <si>
    <t>新增批处理高</t>
  </si>
  <si>
    <t>新增批处理中</t>
  </si>
  <si>
    <t>新增批处理低</t>
  </si>
  <si>
    <t>新增批处理极低</t>
  </si>
  <si>
    <t>新增接口极高</t>
  </si>
  <si>
    <t>新增接口高</t>
  </si>
  <si>
    <t>新增接口中</t>
  </si>
  <si>
    <t>新增接口低</t>
  </si>
  <si>
    <t>新增接口极低</t>
  </si>
  <si>
    <t>新增导入极高</t>
  </si>
  <si>
    <t>新增导入高</t>
  </si>
  <si>
    <t>新增导入中</t>
  </si>
  <si>
    <t>新增导入低</t>
  </si>
  <si>
    <t>新增导入极低</t>
  </si>
  <si>
    <t>新增导出极高</t>
  </si>
  <si>
    <t>新增导出高</t>
  </si>
  <si>
    <t>新增导出中</t>
  </si>
  <si>
    <t>新增导出低</t>
  </si>
  <si>
    <t>新增导出极低</t>
  </si>
  <si>
    <t>修改画面极高</t>
  </si>
  <si>
    <t>修改画面高</t>
  </si>
  <si>
    <t>修改画面中</t>
  </si>
  <si>
    <t>修改画面低</t>
  </si>
  <si>
    <t>修改画面极低</t>
  </si>
  <si>
    <t>修改报表极高</t>
  </si>
  <si>
    <t>修改报表高</t>
  </si>
  <si>
    <t>修改报表中</t>
  </si>
  <si>
    <t>修改报表低</t>
  </si>
  <si>
    <t>修改报表极低</t>
  </si>
  <si>
    <t>修改批处理极高</t>
  </si>
  <si>
    <t>修改批处理高</t>
  </si>
  <si>
    <t>修改批处理中</t>
  </si>
  <si>
    <t>修改批处理低</t>
  </si>
  <si>
    <t>修改批处理极低</t>
  </si>
  <si>
    <t>修改接口极高</t>
  </si>
  <si>
    <t>修改接口高</t>
  </si>
  <si>
    <t>修改接口中</t>
  </si>
  <si>
    <t>修改接口低</t>
  </si>
  <si>
    <t>修改接口极低</t>
  </si>
  <si>
    <t>修改导入极高</t>
  </si>
  <si>
    <t>修改导入高</t>
  </si>
  <si>
    <t>修改导入中</t>
  </si>
  <si>
    <t>修改导入低</t>
  </si>
  <si>
    <t>修改导入极低</t>
  </si>
  <si>
    <t>修改导出极高</t>
  </si>
  <si>
    <t>修改导出高</t>
  </si>
  <si>
    <t>修改导出中</t>
  </si>
  <si>
    <t>修改导出低</t>
  </si>
  <si>
    <t>修改导出极低</t>
  </si>
  <si>
    <t>流程</t>
    <phoneticPr fontId="9" type="noConversion"/>
  </si>
  <si>
    <t>区分</t>
    <phoneticPr fontId="9" type="noConversion"/>
  </si>
  <si>
    <t>新增流程极高</t>
    <phoneticPr fontId="9" type="noConversion"/>
  </si>
  <si>
    <t>新增流程高</t>
    <phoneticPr fontId="9" type="noConversion"/>
  </si>
  <si>
    <t>新增流程中</t>
    <phoneticPr fontId="9" type="noConversion"/>
  </si>
  <si>
    <t>新增流程低</t>
    <phoneticPr fontId="9" type="noConversion"/>
  </si>
  <si>
    <t>新增流程极低</t>
    <phoneticPr fontId="9" type="noConversion"/>
  </si>
  <si>
    <t>修改流程极高</t>
    <phoneticPr fontId="9" type="noConversion"/>
  </si>
  <si>
    <t>修改流程高</t>
    <phoneticPr fontId="9" type="noConversion"/>
  </si>
  <si>
    <t>修改流程中</t>
    <phoneticPr fontId="9" type="noConversion"/>
  </si>
  <si>
    <t>修改流程低</t>
    <phoneticPr fontId="9" type="noConversion"/>
  </si>
  <si>
    <t>修改流程极低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</si>
</sst>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176" formatCode="0_ "/>
    <numFmt numFmtId="177" formatCode="0.00_);[Red]\(0.00\)"/>
    <numFmt numFmtId="178" formatCode="0_);[Red]\(0\)"/>
    <numFmt numFmtId="179" formatCode="0.0_);[Red]\(0.0\)"/>
    <numFmt numFmtId="180" formatCode="0.0_ "/>
    <numFmt numFmtId="181" formatCode="0.0%"/>
    <numFmt numFmtId="182" formatCode="0.0"/>
  </numFmts>
  <fonts count="13" x14ac:knownFonts="1">
    <font>
      <sz val="11"/>
      <color theme="1"/>
      <name val="宋体"/>
      <charset val="134"/>
      <scheme val="minor"/>
    </font>
    <font>
      <sz val="11"/>
      <color theme="1"/>
      <name val="宋体"/>
      <family val="2"/>
      <scheme val="minor"/>
    </font>
    <font>
      <sz val="11"/>
      <color theme="1"/>
      <name val="微软雅黑"/>
      <family val="2"/>
      <charset val="134"/>
    </font>
    <font>
      <b/>
      <sz val="10"/>
      <color rgb="FF000000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4"/>
      <color theme="1"/>
      <name val="微软雅黑"/>
      <family val="2"/>
      <charset val="134"/>
    </font>
    <font>
      <sz val="9"/>
      <name val="宋体"/>
      <family val="3"/>
      <charset val="134"/>
      <scheme val="minor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11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>
      <alignment vertical="center"/>
    </xf>
    <xf numFmtId="9" fontId="7" fillId="0" borderId="0" applyFont="0" applyFill="0" applyBorder="0" applyAlignment="0" applyProtection="0">
      <alignment vertical="center"/>
    </xf>
    <xf numFmtId="0" fontId="6" fillId="0" borderId="0"/>
    <xf numFmtId="0" fontId="1" fillId="0" borderId="0"/>
  </cellStyleXfs>
  <cellXfs count="71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left" vertical="center"/>
    </xf>
    <xf numFmtId="176" fontId="4" fillId="4" borderId="2" xfId="0" applyNumberFormat="1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left" vertical="center" wrapText="1"/>
    </xf>
    <xf numFmtId="177" fontId="4" fillId="4" borderId="2" xfId="1" applyNumberFormat="1" applyFont="1" applyFill="1" applyBorder="1" applyAlignment="1">
      <alignment horizontal="center" vertical="center"/>
    </xf>
    <xf numFmtId="178" fontId="4" fillId="4" borderId="2" xfId="1" applyNumberFormat="1" applyFont="1" applyFill="1" applyBorder="1" applyAlignment="1">
      <alignment horizontal="center" vertical="center"/>
    </xf>
    <xf numFmtId="179" fontId="4" fillId="4" borderId="2" xfId="1" applyNumberFormat="1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 wrapText="1"/>
    </xf>
    <xf numFmtId="176" fontId="2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2" applyFont="1"/>
    <xf numFmtId="0" fontId="2" fillId="5" borderId="2" xfId="2" applyFont="1" applyFill="1" applyBorder="1" applyAlignment="1">
      <alignment horizontal="center" vertical="center"/>
    </xf>
    <xf numFmtId="0" fontId="6" fillId="0" borderId="0" xfId="2"/>
    <xf numFmtId="0" fontId="2" fillId="0" borderId="2" xfId="2" applyFont="1" applyBorder="1" applyAlignment="1">
      <alignment horizontal="center" vertical="center"/>
    </xf>
    <xf numFmtId="0" fontId="2" fillId="0" borderId="2" xfId="2" applyFont="1" applyBorder="1" applyAlignment="1">
      <alignment horizontal="center"/>
    </xf>
    <xf numFmtId="0" fontId="2" fillId="5" borderId="2" xfId="2" applyFont="1" applyFill="1" applyBorder="1" applyAlignment="1">
      <alignment horizontal="center"/>
    </xf>
    <xf numFmtId="0" fontId="2" fillId="0" borderId="2" xfId="2" applyFont="1" applyBorder="1"/>
    <xf numFmtId="0" fontId="2" fillId="0" borderId="2" xfId="2" applyFont="1" applyBorder="1" applyAlignment="1">
      <alignment vertical="center" wrapText="1"/>
    </xf>
    <xf numFmtId="0" fontId="2" fillId="0" borderId="3" xfId="2" applyFont="1" applyBorder="1"/>
    <xf numFmtId="0" fontId="1" fillId="0" borderId="0" xfId="3"/>
    <xf numFmtId="0" fontId="1" fillId="0" borderId="0" xfId="3" applyAlignment="1">
      <alignment horizontal="center" vertical="center"/>
    </xf>
    <xf numFmtId="0" fontId="1" fillId="0" borderId="0" xfId="3" applyAlignment="1">
      <alignment horizontal="center"/>
    </xf>
    <xf numFmtId="0" fontId="1" fillId="0" borderId="2" xfId="3" applyBorder="1"/>
    <xf numFmtId="0" fontId="1" fillId="0" borderId="5" xfId="3" applyBorder="1" applyAlignment="1">
      <alignment vertical="center"/>
    </xf>
    <xf numFmtId="0" fontId="1" fillId="0" borderId="2" xfId="3" applyBorder="1" applyAlignment="1">
      <alignment vertical="center"/>
    </xf>
    <xf numFmtId="0" fontId="1" fillId="0" borderId="2" xfId="3" applyBorder="1" applyAlignment="1">
      <alignment horizontal="center" vertical="center"/>
    </xf>
    <xf numFmtId="180" fontId="4" fillId="4" borderId="2" xfId="0" applyNumberFormat="1" applyFont="1" applyFill="1" applyBorder="1" applyAlignment="1">
      <alignment horizontal="center" vertical="center"/>
    </xf>
    <xf numFmtId="181" fontId="4" fillId="4" borderId="2" xfId="1" applyNumberFormat="1" applyFont="1" applyFill="1" applyBorder="1" applyAlignment="1">
      <alignment horizontal="center" vertical="center"/>
    </xf>
    <xf numFmtId="0" fontId="0" fillId="0" borderId="0" xfId="0" applyAlignment="1"/>
    <xf numFmtId="0" fontId="6" fillId="0" borderId="0" xfId="0" applyFont="1" applyAlignment="1"/>
    <xf numFmtId="0" fontId="12" fillId="0" borderId="0" xfId="0" applyFont="1" applyAlignment="1"/>
    <xf numFmtId="182" fontId="4" fillId="4" borderId="4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180" fontId="4" fillId="4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1" fillId="0" borderId="1" xfId="3" applyBorder="1" applyAlignment="1">
      <alignment horizontal="center" vertical="center" wrapText="1"/>
    </xf>
    <xf numFmtId="0" fontId="1" fillId="0" borderId="3" xfId="3" applyBorder="1" applyAlignment="1">
      <alignment horizontal="center" vertical="center" wrapText="1"/>
    </xf>
    <xf numFmtId="0" fontId="1" fillId="0" borderId="4" xfId="3" applyBorder="1" applyAlignment="1">
      <alignment horizontal="center" vertical="center" wrapText="1"/>
    </xf>
    <xf numFmtId="0" fontId="1" fillId="0" borderId="1" xfId="3" applyBorder="1" applyAlignment="1">
      <alignment horizontal="center" vertical="center"/>
    </xf>
    <xf numFmtId="0" fontId="1" fillId="0" borderId="3" xfId="3" applyBorder="1" applyAlignment="1">
      <alignment horizontal="center" vertical="center"/>
    </xf>
    <xf numFmtId="0" fontId="1" fillId="0" borderId="4" xfId="3" applyBorder="1" applyAlignment="1">
      <alignment horizontal="center" vertical="center"/>
    </xf>
    <xf numFmtId="0" fontId="1" fillId="6" borderId="1" xfId="3" applyFill="1" applyBorder="1" applyAlignment="1">
      <alignment horizontal="center" vertical="center"/>
    </xf>
    <xf numFmtId="0" fontId="1" fillId="6" borderId="4" xfId="3" applyFill="1" applyBorder="1" applyAlignment="1">
      <alignment horizontal="center" vertical="center"/>
    </xf>
    <xf numFmtId="0" fontId="1" fillId="6" borderId="0" xfId="3" applyFill="1" applyAlignment="1">
      <alignment horizontal="center" vertical="center"/>
    </xf>
    <xf numFmtId="0" fontId="1" fillId="6" borderId="8" xfId="3" applyFill="1" applyBorder="1" applyAlignment="1">
      <alignment horizontal="center" vertical="center"/>
    </xf>
    <xf numFmtId="0" fontId="1" fillId="6" borderId="1" xfId="3" applyFill="1" applyBorder="1" applyAlignment="1">
      <alignment horizontal="center" vertical="center" wrapText="1"/>
    </xf>
    <xf numFmtId="0" fontId="1" fillId="6" borderId="4" xfId="3" applyFill="1" applyBorder="1" applyAlignment="1">
      <alignment horizontal="center" vertical="center" wrapText="1"/>
    </xf>
    <xf numFmtId="0" fontId="2" fillId="0" borderId="2" xfId="2" applyFont="1" applyBorder="1" applyAlignment="1">
      <alignment horizontal="center" vertical="center"/>
    </xf>
    <xf numFmtId="0" fontId="8" fillId="5" borderId="5" xfId="2" applyFont="1" applyFill="1" applyBorder="1" applyAlignment="1">
      <alignment horizontal="center" vertical="center"/>
    </xf>
    <xf numFmtId="0" fontId="8" fillId="5" borderId="6" xfId="2" applyFont="1" applyFill="1" applyBorder="1" applyAlignment="1">
      <alignment horizontal="center" vertical="center"/>
    </xf>
    <xf numFmtId="0" fontId="2" fillId="5" borderId="1" xfId="2" applyFont="1" applyFill="1" applyBorder="1" applyAlignment="1">
      <alignment horizontal="center" vertical="center"/>
    </xf>
    <xf numFmtId="0" fontId="2" fillId="5" borderId="4" xfId="2" applyFont="1" applyFill="1" applyBorder="1" applyAlignment="1">
      <alignment horizontal="center" vertical="center"/>
    </xf>
    <xf numFmtId="0" fontId="2" fillId="5" borderId="2" xfId="2" applyFont="1" applyFill="1" applyBorder="1" applyAlignment="1">
      <alignment horizontal="center" vertical="center"/>
    </xf>
  </cellXfs>
  <cellStyles count="4">
    <cellStyle name="百分比" xfId="1" builtinId="5"/>
    <cellStyle name="常规" xfId="0" builtinId="0"/>
    <cellStyle name="常规 2" xfId="2" xr:uid="{2549AB9B-C7E2-46CE-81F6-390A925E2C76}"/>
    <cellStyle name="常规 3" xfId="3" xr:uid="{09003729-8005-4B28-BBF1-4B8200C7B271}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WeChat%20Files\WeChat%20Files\nanan1210\FileStorage\File\2024-04\&#24037;&#26102;&#35780;&#20272;&#34920;20240314V1.1.xlsx" TargetMode="External"/><Relationship Id="rId1" Type="http://schemas.openxmlformats.org/officeDocument/2006/relationships/externalLinkPath" Target="/WeChat%20Files/WeChat%20Files/nanan1210/FileStorage/File/2024-04/&#24037;&#26102;&#35780;&#20272;&#34920;20240314V1.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工时评估"/>
      <sheetName val="需求工时"/>
      <sheetName val="参考定义"/>
      <sheetName val="Sheet1"/>
    </sheetNames>
    <sheetDataSet>
      <sheetData sheetId="0"/>
      <sheetData sheetId="1"/>
      <sheetData sheetId="2"/>
      <sheetData sheetId="3">
        <row r="17">
          <cell r="F17" t="str">
            <v>新增批处理中</v>
          </cell>
          <cell r="G17">
            <v>4</v>
          </cell>
        </row>
        <row r="18">
          <cell r="F18" t="str">
            <v>新增批处理低</v>
          </cell>
          <cell r="G18">
            <v>3.2</v>
          </cell>
        </row>
        <row r="19">
          <cell r="F19" t="str">
            <v>新增批处理极低</v>
          </cell>
          <cell r="G19">
            <v>2</v>
          </cell>
        </row>
        <row r="20">
          <cell r="F20" t="str">
            <v>新增接口极高</v>
          </cell>
          <cell r="G20">
            <v>10</v>
          </cell>
        </row>
        <row r="21">
          <cell r="F21" t="str">
            <v>新增接口高</v>
          </cell>
          <cell r="G21">
            <v>7.5</v>
          </cell>
        </row>
        <row r="22">
          <cell r="F22" t="str">
            <v>新增接口中</v>
          </cell>
          <cell r="G22">
            <v>5</v>
          </cell>
        </row>
        <row r="23">
          <cell r="F23" t="str">
            <v>新增接口低</v>
          </cell>
          <cell r="G23">
            <v>4</v>
          </cell>
        </row>
        <row r="24">
          <cell r="F24" t="str">
            <v>新增接口极低</v>
          </cell>
          <cell r="G24">
            <v>2.5</v>
          </cell>
        </row>
        <row r="25">
          <cell r="F25" t="str">
            <v>新增导入极高</v>
          </cell>
          <cell r="G25">
            <v>8</v>
          </cell>
        </row>
        <row r="26">
          <cell r="F26" t="str">
            <v>新增导入高</v>
          </cell>
          <cell r="G26">
            <v>6</v>
          </cell>
        </row>
        <row r="27">
          <cell r="F27" t="str">
            <v>新增导入中</v>
          </cell>
          <cell r="G27">
            <v>4</v>
          </cell>
        </row>
        <row r="28">
          <cell r="F28" t="str">
            <v>新增导入低</v>
          </cell>
          <cell r="G28">
            <v>3.2</v>
          </cell>
        </row>
        <row r="29">
          <cell r="F29" t="str">
            <v>新增导入极低</v>
          </cell>
          <cell r="G29">
            <v>2</v>
          </cell>
        </row>
        <row r="30">
          <cell r="F30" t="str">
            <v>新增导出极高</v>
          </cell>
          <cell r="G30">
            <v>6</v>
          </cell>
        </row>
        <row r="31">
          <cell r="F31" t="str">
            <v>新增导出高</v>
          </cell>
          <cell r="G31">
            <v>4.5</v>
          </cell>
        </row>
        <row r="32">
          <cell r="F32" t="str">
            <v>新增导出中</v>
          </cell>
          <cell r="G32">
            <v>3</v>
          </cell>
        </row>
        <row r="33">
          <cell r="F33" t="str">
            <v>新增导出低</v>
          </cell>
          <cell r="G33">
            <v>2.4000000000000004</v>
          </cell>
        </row>
        <row r="34">
          <cell r="F34" t="str">
            <v>新增导出极低</v>
          </cell>
          <cell r="G34">
            <v>1.5</v>
          </cell>
        </row>
        <row r="35">
          <cell r="F35" t="str">
            <v>修改画面极高</v>
          </cell>
          <cell r="G35">
            <v>2</v>
          </cell>
        </row>
        <row r="36">
          <cell r="F36" t="str">
            <v>修改画面高</v>
          </cell>
          <cell r="G36">
            <v>1.5</v>
          </cell>
        </row>
        <row r="37">
          <cell r="F37" t="str">
            <v>修改画面中</v>
          </cell>
          <cell r="G37">
            <v>1</v>
          </cell>
        </row>
        <row r="38">
          <cell r="F38" t="str">
            <v>修改画面低</v>
          </cell>
          <cell r="G38">
            <v>0.8</v>
          </cell>
        </row>
        <row r="39">
          <cell r="F39" t="str">
            <v>修改画面极低</v>
          </cell>
          <cell r="G39">
            <v>0.5</v>
          </cell>
        </row>
        <row r="40">
          <cell r="F40" t="str">
            <v>修改报表极高</v>
          </cell>
          <cell r="G40">
            <v>6</v>
          </cell>
        </row>
        <row r="41">
          <cell r="F41" t="str">
            <v>修改报表高</v>
          </cell>
          <cell r="G41">
            <v>4.5</v>
          </cell>
        </row>
        <row r="42">
          <cell r="F42" t="str">
            <v>修改报表中</v>
          </cell>
          <cell r="G42">
            <v>3</v>
          </cell>
        </row>
        <row r="43">
          <cell r="F43" t="str">
            <v>修改报表低</v>
          </cell>
          <cell r="G43">
            <v>2.4000000000000004</v>
          </cell>
        </row>
        <row r="44">
          <cell r="F44" t="str">
            <v>修改报表极低</v>
          </cell>
          <cell r="G44">
            <v>1.5</v>
          </cell>
        </row>
        <row r="45">
          <cell r="F45" t="str">
            <v>修改批处理极高</v>
          </cell>
          <cell r="G45">
            <v>6</v>
          </cell>
        </row>
        <row r="46">
          <cell r="F46" t="str">
            <v>修改批处理高</v>
          </cell>
          <cell r="G46">
            <v>4.5</v>
          </cell>
        </row>
        <row r="47">
          <cell r="F47" t="str">
            <v>修改批处理中</v>
          </cell>
          <cell r="G47">
            <v>3</v>
          </cell>
        </row>
        <row r="48">
          <cell r="F48" t="str">
            <v>修改批处理低</v>
          </cell>
          <cell r="G48">
            <v>2.4000000000000004</v>
          </cell>
        </row>
        <row r="49">
          <cell r="F49" t="str">
            <v>修改批处理极低</v>
          </cell>
          <cell r="G49">
            <v>1.5</v>
          </cell>
        </row>
        <row r="50">
          <cell r="F50" t="str">
            <v>修改接口极高</v>
          </cell>
          <cell r="G50">
            <v>8</v>
          </cell>
        </row>
        <row r="51">
          <cell r="F51" t="str">
            <v>修改接口高</v>
          </cell>
          <cell r="G51">
            <v>6</v>
          </cell>
        </row>
        <row r="52">
          <cell r="F52" t="str">
            <v>修改接口中</v>
          </cell>
          <cell r="G52">
            <v>4</v>
          </cell>
        </row>
        <row r="53">
          <cell r="F53" t="str">
            <v>修改接口低</v>
          </cell>
          <cell r="G53">
            <v>3.2</v>
          </cell>
        </row>
        <row r="54">
          <cell r="F54" t="str">
            <v>修改接口极低</v>
          </cell>
          <cell r="G54">
            <v>2</v>
          </cell>
        </row>
        <row r="55">
          <cell r="F55" t="str">
            <v>修改导入极高</v>
          </cell>
          <cell r="G55">
            <v>4</v>
          </cell>
        </row>
        <row r="56">
          <cell r="F56" t="str">
            <v>修改导入高</v>
          </cell>
          <cell r="G56">
            <v>3</v>
          </cell>
        </row>
        <row r="57">
          <cell r="F57" t="str">
            <v>修改导入中</v>
          </cell>
          <cell r="G57">
            <v>2</v>
          </cell>
        </row>
        <row r="58">
          <cell r="F58" t="str">
            <v>修改导入低</v>
          </cell>
          <cell r="G58">
            <v>1.6</v>
          </cell>
        </row>
        <row r="59">
          <cell r="F59" t="str">
            <v>修改导入极低</v>
          </cell>
          <cell r="G59">
            <v>1</v>
          </cell>
        </row>
        <row r="60">
          <cell r="F60" t="str">
            <v>修改导出极高</v>
          </cell>
          <cell r="G60">
            <v>4</v>
          </cell>
        </row>
        <row r="61">
          <cell r="F61" t="str">
            <v>修改导出高</v>
          </cell>
          <cell r="G61">
            <v>3</v>
          </cell>
        </row>
        <row r="62">
          <cell r="F62" t="str">
            <v>修改导出中</v>
          </cell>
          <cell r="G62">
            <v>2</v>
          </cell>
        </row>
        <row r="63">
          <cell r="F63" t="str">
            <v>修改导出低</v>
          </cell>
          <cell r="G63">
            <v>1.6</v>
          </cell>
        </row>
        <row r="64">
          <cell r="F64" t="str">
            <v>修改导出极低</v>
          </cell>
          <cell r="G64">
            <v>1</v>
          </cell>
        </row>
      </sheetData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3"/>
  <sheetViews>
    <sheetView tabSelected="1" zoomScale="70" zoomScaleNormal="70" workbookViewId="0">
      <selection activeCell="Y9" sqref="Y9"/>
    </sheetView>
  </sheetViews>
  <sheetFormatPr defaultColWidth="8.7265625" defaultRowHeight="16.5" x14ac:dyDescent="0.25"/>
  <cols>
    <col min="1" max="1" width="8.7265625" style="1"/>
    <col min="2" max="2" width="5.7265625" style="1" customWidth="1"/>
    <col min="3" max="3" width="9.90625" style="1" customWidth="1"/>
    <col min="4" max="4" width="41.90625" style="1" customWidth="1"/>
    <col min="5" max="5" width="4.36328125" style="2" customWidth="1"/>
    <col min="6" max="6" width="4.81640625" style="2" customWidth="1"/>
    <col min="7" max="7" width="7.6328125" style="2" customWidth="1"/>
    <col min="8" max="8" width="4.6328125" style="2" customWidth="1"/>
    <col min="9" max="9" width="4.90625" style="2" customWidth="1"/>
    <col min="10" max="10" width="4.453125" style="1" customWidth="1"/>
    <col min="11" max="11" width="5.08984375" style="1" customWidth="1"/>
    <col min="12" max="16" width="6.6328125" style="1" customWidth="1"/>
    <col min="17" max="17" width="6.1796875" style="2" customWidth="1"/>
    <col min="18" max="18" width="9.453125" style="2" customWidth="1"/>
    <col min="19" max="20" width="8.6328125" style="2" customWidth="1"/>
    <col min="21" max="21" width="8.7265625" style="1"/>
    <col min="22" max="22" width="8.81640625" style="1"/>
  </cols>
  <sheetData>
    <row r="1" spans="2:20" ht="20" customHeight="1" x14ac:dyDescent="0.25">
      <c r="B1" s="45" t="s">
        <v>0</v>
      </c>
      <c r="C1" s="45" t="s">
        <v>1</v>
      </c>
      <c r="D1" s="40" t="s">
        <v>84</v>
      </c>
      <c r="E1" s="40" t="s">
        <v>2</v>
      </c>
      <c r="F1" s="48"/>
      <c r="G1" s="48"/>
      <c r="H1" s="48"/>
      <c r="I1" s="48"/>
      <c r="J1" s="40"/>
      <c r="K1" s="40"/>
      <c r="L1" s="48"/>
      <c r="M1" s="48"/>
      <c r="N1" s="48"/>
      <c r="O1" s="48"/>
      <c r="P1" s="48"/>
      <c r="Q1" s="40" t="s">
        <v>3</v>
      </c>
      <c r="R1" s="40" t="s">
        <v>4</v>
      </c>
      <c r="S1" s="45" t="s">
        <v>5</v>
      </c>
      <c r="T1" s="40" t="s">
        <v>6</v>
      </c>
    </row>
    <row r="2" spans="2:20" ht="15" customHeight="1" x14ac:dyDescent="0.25">
      <c r="B2" s="46"/>
      <c r="C2" s="46"/>
      <c r="D2" s="40"/>
      <c r="E2" s="40" t="s">
        <v>7</v>
      </c>
      <c r="F2" s="40" t="s">
        <v>8</v>
      </c>
      <c r="G2" s="40" t="s">
        <v>9</v>
      </c>
      <c r="H2" s="40" t="s">
        <v>10</v>
      </c>
      <c r="I2" s="40" t="s">
        <v>11</v>
      </c>
      <c r="J2" s="40" t="s">
        <v>12</v>
      </c>
      <c r="K2" s="40" t="s">
        <v>13</v>
      </c>
      <c r="L2" s="40" t="s">
        <v>14</v>
      </c>
      <c r="M2" s="48"/>
      <c r="N2" s="48"/>
      <c r="O2" s="48"/>
      <c r="P2" s="48"/>
      <c r="Q2" s="40"/>
      <c r="R2" s="40"/>
      <c r="S2" s="46"/>
      <c r="T2" s="40"/>
    </row>
    <row r="3" spans="2:20" ht="15" customHeight="1" x14ac:dyDescent="0.25">
      <c r="B3" s="47"/>
      <c r="C3" s="47"/>
      <c r="D3" s="40"/>
      <c r="E3" s="48"/>
      <c r="F3" s="48"/>
      <c r="G3" s="48"/>
      <c r="H3" s="48"/>
      <c r="I3" s="48"/>
      <c r="J3" s="48"/>
      <c r="K3" s="48"/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40"/>
      <c r="R3" s="40"/>
      <c r="S3" s="47"/>
      <c r="T3" s="40"/>
    </row>
    <row r="4" spans="2:20" ht="19" customHeight="1" x14ac:dyDescent="0.25">
      <c r="B4" s="49" t="s">
        <v>93</v>
      </c>
      <c r="C4" s="51" t="str">
        <f>工时评估明细表!B3</f>
        <v>GRT销售</v>
      </c>
      <c r="D4" s="5" t="str">
        <f>工时评估明细表!C3</f>
        <v>功能1</v>
      </c>
      <c r="E4" s="6">
        <f>SUMIF(工时评估明细表!$G$3:$G$16,E2,工时评估明细表!$H$3:$H$16)</f>
        <v>3</v>
      </c>
      <c r="F4" s="6">
        <f>SUMIF(工时评估明细表!$G$3:$G$16,F2,工时评估明细表!$H$3:$H$16)</f>
        <v>5</v>
      </c>
      <c r="G4" s="6">
        <f>SUMIF(工时评估明细表!$G$3:$G$16,G2,工时评估明细表!$H$3:$H$16)</f>
        <v>3</v>
      </c>
      <c r="H4" s="6">
        <f>SUMIF(工时评估明细表!$G$3:$G$16,H2,工时评估明细表!$H$3:$H$16)</f>
        <v>5</v>
      </c>
      <c r="I4" s="6">
        <f>SUMIF(工时评估明细表!$G$3:$G$16,I2,工时评估明细表!$H$3:$H$16)</f>
        <v>2</v>
      </c>
      <c r="J4" s="6">
        <f>SUMIF(工时评估明细表!$G$3:$G$16,J2,工时评估明细表!$H$3:$H$16)</f>
        <v>3</v>
      </c>
      <c r="K4" s="6">
        <f>SUMIF(工时评估明细表!$G$3:$G$16,K2,工时评估明细表!$H$3:$H$16)</f>
        <v>2</v>
      </c>
      <c r="L4" s="32">
        <f>SUMIF(工时评估明细表!$I$3:$I$16,L3,工时评估明细表!$H$3:$H$16)/SUM(工时评估明细表!$H$3:$H$16)</f>
        <v>0.13043478260869565</v>
      </c>
      <c r="M4" s="32">
        <f>SUMIF(工时评估明细表!$I$3:$I$16,M3,工时评估明细表!$H$3:$H$16)/SUM(工时评估明细表!$H$3:$H$16)</f>
        <v>0.39130434782608697</v>
      </c>
      <c r="N4" s="32">
        <f>SUMIF(工时评估明细表!$I$3:$I$16,N3,工时评估明细表!$H$3:$H$16)/SUM(工时评估明细表!$H$3:$H$16)</f>
        <v>0.2608695652173913</v>
      </c>
      <c r="O4" s="32">
        <f>SUMIF(工时评估明细表!$I$3:$I$16,O3,工时评估明细表!$H$3:$H$16)/SUM(工时评估明细表!$H$3:$H$16)</f>
        <v>8.6956521739130432E-2</v>
      </c>
      <c r="P4" s="32">
        <f>SUMIF(工时评估明细表!$I$3:$I$16,P3,工时评估明细表!$H$3:$H$16)/SUM(工时评估明细表!$H$3:$H$16)</f>
        <v>0.13043478260869565</v>
      </c>
      <c r="Q4" s="31">
        <f>工时评估明细表!K3</f>
        <v>98.6</v>
      </c>
      <c r="R4" s="44">
        <f>SUM(Q4:Q6)</f>
        <v>98.6</v>
      </c>
      <c r="S4" s="44">
        <f>SUM(R4:R7)</f>
        <v>198.6</v>
      </c>
      <c r="T4" s="37"/>
    </row>
    <row r="5" spans="2:20" ht="21" customHeight="1" x14ac:dyDescent="0.25">
      <c r="B5" s="50"/>
      <c r="C5" s="38"/>
      <c r="D5" s="5"/>
      <c r="E5" s="6"/>
      <c r="F5" s="6"/>
      <c r="G5" s="6"/>
      <c r="H5" s="6"/>
      <c r="I5" s="6"/>
      <c r="J5" s="6"/>
      <c r="K5" s="6"/>
      <c r="L5" s="9"/>
      <c r="M5" s="9"/>
      <c r="N5" s="10"/>
      <c r="O5" s="9"/>
      <c r="P5" s="9"/>
      <c r="Q5" s="6"/>
      <c r="R5" s="38"/>
      <c r="S5" s="38"/>
      <c r="T5" s="38"/>
    </row>
    <row r="6" spans="2:20" ht="21" customHeight="1" x14ac:dyDescent="0.25">
      <c r="B6" s="50"/>
      <c r="C6" s="38"/>
      <c r="D6" s="5"/>
      <c r="E6" s="6"/>
      <c r="F6" s="6"/>
      <c r="G6" s="6"/>
      <c r="H6" s="6"/>
      <c r="I6" s="6"/>
      <c r="J6" s="6"/>
      <c r="K6" s="6"/>
      <c r="L6" s="9"/>
      <c r="M6" s="9"/>
      <c r="N6" s="10"/>
      <c r="O6" s="9"/>
      <c r="P6" s="9"/>
      <c r="Q6" s="6"/>
      <c r="R6" s="39"/>
      <c r="S6" s="38"/>
      <c r="T6" s="38"/>
    </row>
    <row r="7" spans="2:20" ht="24" customHeight="1" x14ac:dyDescent="0.25">
      <c r="B7" s="50"/>
      <c r="C7" s="38"/>
      <c r="D7" s="41" t="s">
        <v>87</v>
      </c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3"/>
      <c r="R7" s="36">
        <v>100</v>
      </c>
      <c r="S7" s="38"/>
      <c r="T7" s="38"/>
    </row>
    <row r="8" spans="2:20" ht="20" customHeight="1" x14ac:dyDescent="0.25">
      <c r="B8" s="51" t="s">
        <v>94</v>
      </c>
      <c r="C8" s="49"/>
      <c r="D8" s="5"/>
      <c r="E8" s="6"/>
      <c r="F8" s="6"/>
      <c r="G8" s="6"/>
      <c r="H8" s="6"/>
      <c r="I8" s="6"/>
      <c r="J8" s="6"/>
      <c r="K8" s="6"/>
      <c r="L8" s="9"/>
      <c r="M8" s="9"/>
      <c r="N8" s="9"/>
      <c r="O8" s="11"/>
      <c r="P8" s="9"/>
      <c r="Q8" s="6"/>
      <c r="R8" s="37"/>
      <c r="S8" s="37"/>
      <c r="T8" s="38"/>
    </row>
    <row r="9" spans="2:20" ht="21" customHeight="1" x14ac:dyDescent="0.25">
      <c r="B9" s="38"/>
      <c r="C9" s="50"/>
      <c r="D9" s="5"/>
      <c r="E9" s="6"/>
      <c r="F9" s="6"/>
      <c r="G9" s="6"/>
      <c r="H9" s="6"/>
      <c r="I9" s="6"/>
      <c r="J9" s="6"/>
      <c r="K9" s="6"/>
      <c r="L9" s="9"/>
      <c r="M9" s="9"/>
      <c r="N9" s="9"/>
      <c r="O9" s="9"/>
      <c r="P9" s="9"/>
      <c r="Q9" s="6"/>
      <c r="R9" s="39"/>
      <c r="S9" s="39"/>
      <c r="T9" s="38"/>
    </row>
    <row r="10" spans="2:20" ht="18" customHeight="1" x14ac:dyDescent="0.25">
      <c r="B10" s="38"/>
      <c r="C10" s="52"/>
      <c r="D10" s="5"/>
      <c r="E10" s="6"/>
      <c r="F10" s="6"/>
      <c r="G10" s="6"/>
      <c r="H10" s="6"/>
      <c r="I10" s="6"/>
      <c r="J10" s="6"/>
      <c r="K10" s="6"/>
      <c r="L10" s="9"/>
      <c r="M10" s="9"/>
      <c r="N10" s="9"/>
      <c r="O10" s="9"/>
      <c r="P10" s="9"/>
      <c r="Q10" s="6"/>
      <c r="R10" s="38"/>
      <c r="S10" s="37"/>
      <c r="T10" s="38"/>
    </row>
    <row r="11" spans="2:20" ht="21" customHeight="1" x14ac:dyDescent="0.25">
      <c r="B11" s="38"/>
      <c r="C11" s="38"/>
      <c r="D11" s="5"/>
      <c r="E11" s="6"/>
      <c r="F11" s="6"/>
      <c r="G11" s="6"/>
      <c r="H11" s="6"/>
      <c r="I11" s="6"/>
      <c r="J11" s="6"/>
      <c r="K11" s="6"/>
      <c r="L11" s="10"/>
      <c r="M11" s="9"/>
      <c r="N11" s="9"/>
      <c r="O11" s="9"/>
      <c r="P11" s="9"/>
      <c r="Q11" s="6"/>
      <c r="R11" s="38"/>
      <c r="S11" s="38"/>
      <c r="T11" s="38"/>
    </row>
    <row r="12" spans="2:20" ht="21" customHeight="1" x14ac:dyDescent="0.25">
      <c r="B12" s="39"/>
      <c r="C12" s="39"/>
      <c r="D12" s="5"/>
      <c r="E12" s="6"/>
      <c r="F12" s="6"/>
      <c r="G12" s="6"/>
      <c r="H12" s="6"/>
      <c r="I12" s="6"/>
      <c r="J12" s="6"/>
      <c r="K12" s="6"/>
      <c r="L12" s="9"/>
      <c r="M12" s="9"/>
      <c r="N12" s="9"/>
      <c r="O12" s="9"/>
      <c r="P12" s="9"/>
      <c r="Q12" s="6"/>
      <c r="R12" s="39"/>
      <c r="S12" s="39"/>
      <c r="T12" s="38"/>
    </row>
    <row r="13" spans="2:20" ht="19" customHeight="1" x14ac:dyDescent="0.25">
      <c r="B13" s="52"/>
      <c r="C13" s="52"/>
      <c r="D13" s="5"/>
      <c r="E13" s="6"/>
      <c r="F13" s="6"/>
      <c r="G13" s="6"/>
      <c r="H13" s="6"/>
      <c r="I13" s="6"/>
      <c r="J13" s="6"/>
      <c r="K13" s="6"/>
      <c r="L13" s="9"/>
      <c r="M13" s="9"/>
      <c r="N13" s="9"/>
      <c r="O13" s="9"/>
      <c r="P13" s="9"/>
      <c r="Q13" s="6"/>
      <c r="R13" s="7"/>
      <c r="S13" s="37"/>
      <c r="T13" s="38"/>
    </row>
    <row r="14" spans="2:20" ht="20" customHeight="1" x14ac:dyDescent="0.25">
      <c r="B14" s="38"/>
      <c r="C14" s="38"/>
      <c r="D14" s="5"/>
      <c r="E14" s="6"/>
      <c r="F14" s="6"/>
      <c r="G14" s="6"/>
      <c r="H14" s="6"/>
      <c r="I14" s="6"/>
      <c r="J14" s="6"/>
      <c r="K14" s="6"/>
      <c r="L14" s="9"/>
      <c r="M14" s="9"/>
      <c r="N14" s="9"/>
      <c r="O14" s="9"/>
      <c r="P14" s="9"/>
      <c r="Q14" s="6"/>
      <c r="R14" s="7"/>
      <c r="S14" s="38"/>
      <c r="T14" s="38"/>
    </row>
    <row r="15" spans="2:20" ht="20" customHeight="1" x14ac:dyDescent="0.25">
      <c r="B15" s="38"/>
      <c r="C15" s="38"/>
      <c r="D15" s="5"/>
      <c r="E15" s="6"/>
      <c r="F15" s="6"/>
      <c r="G15" s="6"/>
      <c r="H15" s="6"/>
      <c r="I15" s="6"/>
      <c r="J15" s="6"/>
      <c r="K15" s="6"/>
      <c r="L15" s="9"/>
      <c r="M15" s="9"/>
      <c r="N15" s="9"/>
      <c r="O15" s="9"/>
      <c r="P15" s="9"/>
      <c r="Q15" s="12"/>
      <c r="R15" s="7"/>
      <c r="S15" s="38"/>
      <c r="T15" s="38"/>
    </row>
    <row r="16" spans="2:20" ht="17" customHeight="1" x14ac:dyDescent="0.25">
      <c r="B16" s="38"/>
      <c r="C16" s="38"/>
      <c r="D16" s="5"/>
      <c r="E16" s="6"/>
      <c r="F16" s="6"/>
      <c r="G16" s="6"/>
      <c r="H16" s="6"/>
      <c r="I16" s="6"/>
      <c r="J16" s="6"/>
      <c r="K16" s="6"/>
      <c r="L16" s="9"/>
      <c r="M16" s="10"/>
      <c r="N16" s="9"/>
      <c r="O16" s="9"/>
      <c r="P16" s="9"/>
      <c r="Q16" s="7"/>
      <c r="R16" s="7"/>
      <c r="S16" s="38"/>
      <c r="T16" s="38"/>
    </row>
    <row r="17" spans="1:22" ht="22" customHeight="1" x14ac:dyDescent="0.25">
      <c r="B17" s="38"/>
      <c r="C17" s="38"/>
      <c r="D17" s="5"/>
      <c r="E17" s="6"/>
      <c r="F17" s="6"/>
      <c r="G17" s="6"/>
      <c r="H17" s="6"/>
      <c r="I17" s="6"/>
      <c r="J17" s="6"/>
      <c r="K17" s="6"/>
      <c r="L17" s="9"/>
      <c r="M17" s="9"/>
      <c r="N17" s="9"/>
      <c r="O17" s="11"/>
      <c r="P17" s="9"/>
      <c r="Q17" s="7"/>
      <c r="R17" s="7"/>
      <c r="S17" s="38"/>
      <c r="T17" s="38"/>
    </row>
    <row r="18" spans="1:22" ht="22" customHeight="1" x14ac:dyDescent="0.25">
      <c r="B18" s="39"/>
      <c r="C18" s="39"/>
      <c r="D18" s="5"/>
      <c r="E18" s="6"/>
      <c r="F18" s="6"/>
      <c r="G18" s="6"/>
      <c r="H18" s="6"/>
      <c r="I18" s="6"/>
      <c r="J18" s="6"/>
      <c r="K18" s="6"/>
      <c r="L18" s="9"/>
      <c r="M18" s="9"/>
      <c r="N18" s="9"/>
      <c r="O18" s="9"/>
      <c r="P18" s="9"/>
      <c r="Q18" s="7"/>
      <c r="R18" s="7"/>
      <c r="S18" s="39"/>
      <c r="T18" s="38"/>
    </row>
    <row r="19" spans="1:22" ht="24" customHeight="1" x14ac:dyDescent="0.25">
      <c r="B19" s="4"/>
      <c r="C19" s="7"/>
      <c r="D19" s="8"/>
      <c r="E19" s="6"/>
      <c r="F19" s="6"/>
      <c r="G19" s="6"/>
      <c r="H19" s="6"/>
      <c r="I19" s="6"/>
      <c r="J19" s="6"/>
      <c r="K19" s="6"/>
      <c r="L19" s="9"/>
      <c r="M19" s="9"/>
      <c r="N19" s="9"/>
      <c r="O19" s="9"/>
      <c r="P19" s="9"/>
      <c r="Q19" s="7"/>
      <c r="R19" s="7"/>
      <c r="S19" s="7"/>
      <c r="T19" s="39"/>
    </row>
    <row r="20" spans="1:22" ht="22" customHeight="1" x14ac:dyDescent="0.25">
      <c r="B20" s="1" t="s">
        <v>86</v>
      </c>
      <c r="Q20" s="13"/>
      <c r="R20" s="13"/>
      <c r="S20" s="13"/>
      <c r="T20" s="13"/>
    </row>
    <row r="25" spans="1:22" ht="14" x14ac:dyDescent="0.25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 s="14"/>
      <c r="R25" s="14"/>
      <c r="S25"/>
      <c r="T25"/>
      <c r="U25"/>
      <c r="V25"/>
    </row>
    <row r="26" spans="1:22" ht="14" x14ac:dyDescent="0.25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 s="14"/>
      <c r="R26" s="14"/>
      <c r="S26"/>
      <c r="T26"/>
      <c r="U26"/>
      <c r="V26"/>
    </row>
    <row r="27" spans="1:22" ht="14" x14ac:dyDescent="0.25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 s="14"/>
      <c r="R27" s="14"/>
      <c r="S27"/>
      <c r="T27"/>
      <c r="U27"/>
      <c r="V27"/>
    </row>
    <row r="28" spans="1:22" ht="14" x14ac:dyDescent="0.25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 s="14"/>
      <c r="R28" s="14"/>
      <c r="S28"/>
      <c r="T28"/>
      <c r="U28"/>
      <c r="V28"/>
    </row>
    <row r="29" spans="1:22" ht="14" x14ac:dyDescent="0.25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 s="14"/>
      <c r="R29" s="14"/>
      <c r="S29"/>
      <c r="T29"/>
      <c r="U29"/>
      <c r="V29"/>
    </row>
    <row r="30" spans="1:22" ht="14" x14ac:dyDescent="0.25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 s="14"/>
      <c r="R30" s="14"/>
      <c r="S30"/>
      <c r="T30"/>
      <c r="U30"/>
      <c r="V30"/>
    </row>
    <row r="31" spans="1:22" ht="14" x14ac:dyDescent="0.25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 s="14"/>
      <c r="R31" s="14"/>
      <c r="S31"/>
      <c r="T31"/>
      <c r="U31"/>
      <c r="V31"/>
    </row>
    <row r="32" spans="1:22" ht="14" x14ac:dyDescent="0.25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 s="14"/>
      <c r="R32" s="14"/>
      <c r="S32"/>
      <c r="T32"/>
      <c r="U32"/>
      <c r="V32"/>
    </row>
    <row r="33" spans="17:18" customFormat="1" ht="14" x14ac:dyDescent="0.25">
      <c r="Q33" s="14"/>
      <c r="R33" s="14"/>
    </row>
  </sheetData>
  <mergeCells count="32">
    <mergeCell ref="D1:D3"/>
    <mergeCell ref="B1:B3"/>
    <mergeCell ref="B4:B7"/>
    <mergeCell ref="B8:B12"/>
    <mergeCell ref="B13:B18"/>
    <mergeCell ref="C1:C3"/>
    <mergeCell ref="C4:C7"/>
    <mergeCell ref="C8:C9"/>
    <mergeCell ref="C10:C12"/>
    <mergeCell ref="C13:C18"/>
    <mergeCell ref="F2:F3"/>
    <mergeCell ref="G2:G3"/>
    <mergeCell ref="H2:H3"/>
    <mergeCell ref="I2:I3"/>
    <mergeCell ref="E1:P1"/>
    <mergeCell ref="L2:P2"/>
    <mergeCell ref="S13:S18"/>
    <mergeCell ref="T1:T3"/>
    <mergeCell ref="T4:T19"/>
    <mergeCell ref="D7:Q7"/>
    <mergeCell ref="R4:R6"/>
    <mergeCell ref="R8:R9"/>
    <mergeCell ref="R10:R12"/>
    <mergeCell ref="S1:S3"/>
    <mergeCell ref="S4:S7"/>
    <mergeCell ref="S8:S9"/>
    <mergeCell ref="S10:S12"/>
    <mergeCell ref="J2:J3"/>
    <mergeCell ref="K2:K3"/>
    <mergeCell ref="Q1:Q3"/>
    <mergeCell ref="R1:R3"/>
    <mergeCell ref="E2:E3"/>
  </mergeCells>
  <phoneticPr fontId="9" type="noConversion"/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6BC93-6A30-4987-BF84-7A03E8E6D67E}">
  <dimension ref="A1:L24"/>
  <sheetViews>
    <sheetView showGridLines="0" workbookViewId="0">
      <selection activeCell="A16" sqref="A16:XFD16"/>
    </sheetView>
  </sheetViews>
  <sheetFormatPr defaultRowHeight="14" x14ac:dyDescent="0.25"/>
  <cols>
    <col min="1" max="1" width="8.7265625" style="26"/>
    <col min="2" max="3" width="8.7265625" style="24"/>
    <col min="4" max="4" width="8.7265625" style="25"/>
    <col min="5" max="9" width="8.7265625" style="24"/>
    <col min="10" max="11" width="11.1796875" style="24" customWidth="1"/>
    <col min="12" max="16384" width="8.7265625" style="24"/>
  </cols>
  <sheetData>
    <row r="1" spans="1:12" x14ac:dyDescent="0.25">
      <c r="A1" s="61" t="s">
        <v>81</v>
      </c>
      <c r="B1" s="59" t="s">
        <v>83</v>
      </c>
      <c r="C1" s="59" t="s">
        <v>84</v>
      </c>
      <c r="D1" s="59" t="s">
        <v>85</v>
      </c>
      <c r="E1" s="59" t="s">
        <v>76</v>
      </c>
      <c r="F1" s="59" t="s">
        <v>156</v>
      </c>
      <c r="G1" s="59" t="s">
        <v>74</v>
      </c>
      <c r="H1" s="59" t="s">
        <v>73</v>
      </c>
      <c r="I1" s="59" t="s">
        <v>72</v>
      </c>
      <c r="J1" s="59" t="s">
        <v>80</v>
      </c>
      <c r="K1" s="59" t="s">
        <v>82</v>
      </c>
      <c r="L1" s="63" t="s">
        <v>79</v>
      </c>
    </row>
    <row r="2" spans="1:12" s="26" customFormat="1" x14ac:dyDescent="0.25">
      <c r="A2" s="62"/>
      <c r="B2" s="60"/>
      <c r="C2" s="60" t="s">
        <v>78</v>
      </c>
      <c r="D2" s="60" t="s">
        <v>77</v>
      </c>
      <c r="E2" s="60" t="s">
        <v>76</v>
      </c>
      <c r="F2" s="60" t="s">
        <v>75</v>
      </c>
      <c r="G2" s="60" t="s">
        <v>74</v>
      </c>
      <c r="H2" s="60" t="s">
        <v>73</v>
      </c>
      <c r="I2" s="60" t="s">
        <v>72</v>
      </c>
      <c r="J2" s="60"/>
      <c r="K2" s="60"/>
      <c r="L2" s="64"/>
    </row>
    <row r="3" spans="1:12" x14ac:dyDescent="0.25">
      <c r="A3" s="30">
        <v>1</v>
      </c>
      <c r="B3" s="56" t="s">
        <v>88</v>
      </c>
      <c r="C3" s="53" t="s">
        <v>71</v>
      </c>
      <c r="D3" s="53" t="s">
        <v>90</v>
      </c>
      <c r="E3" s="53" t="s">
        <v>89</v>
      </c>
      <c r="F3" s="29" t="s">
        <v>66</v>
      </c>
      <c r="G3" s="29" t="s">
        <v>64</v>
      </c>
      <c r="H3" s="29">
        <v>2</v>
      </c>
      <c r="I3" s="28" t="s">
        <v>92</v>
      </c>
      <c r="J3" s="27">
        <f>IFERROR(VLOOKUP(F3&amp;G3&amp;I3,Sheet1!$A$1:$B$70,2,0)*$H3,"")</f>
        <v>6</v>
      </c>
      <c r="K3" s="56">
        <f>SUM(J3:J16)</f>
        <v>98.6</v>
      </c>
      <c r="L3" s="27"/>
    </row>
    <row r="4" spans="1:12" x14ac:dyDescent="0.25">
      <c r="A4" s="30">
        <v>2</v>
      </c>
      <c r="B4" s="57"/>
      <c r="C4" s="54"/>
      <c r="D4" s="54"/>
      <c r="E4" s="54"/>
      <c r="F4" s="29" t="s">
        <v>66</v>
      </c>
      <c r="G4" s="29" t="s">
        <v>70</v>
      </c>
      <c r="H4" s="29">
        <v>2</v>
      </c>
      <c r="I4" s="28" t="s">
        <v>19</v>
      </c>
      <c r="J4" s="27">
        <f>IFERROR(VLOOKUP(F4&amp;G4&amp;I4,Sheet1!$A$1:$B$70,2,0)*$H4,"")</f>
        <v>5</v>
      </c>
      <c r="K4" s="57"/>
      <c r="L4" s="27"/>
    </row>
    <row r="5" spans="1:12" x14ac:dyDescent="0.25">
      <c r="A5" s="30">
        <v>3</v>
      </c>
      <c r="B5" s="57"/>
      <c r="C5" s="54"/>
      <c r="D5" s="54"/>
      <c r="E5" s="54"/>
      <c r="F5" s="29" t="s">
        <v>66</v>
      </c>
      <c r="G5" s="29" t="s">
        <v>69</v>
      </c>
      <c r="H5" s="29">
        <v>1</v>
      </c>
      <c r="I5" s="28" t="s">
        <v>17</v>
      </c>
      <c r="J5" s="27">
        <f>IFERROR(VLOOKUP(F5&amp;G5&amp;I5,Sheet1!$A$1:$B$70,2,0)*$H5,"")</f>
        <v>4</v>
      </c>
      <c r="K5" s="57"/>
      <c r="L5" s="27"/>
    </row>
    <row r="6" spans="1:12" x14ac:dyDescent="0.25">
      <c r="A6" s="30"/>
      <c r="B6" s="57"/>
      <c r="C6" s="54"/>
      <c r="D6" s="54"/>
      <c r="E6" s="54"/>
      <c r="F6" s="29" t="s">
        <v>22</v>
      </c>
      <c r="G6" s="29" t="s">
        <v>68</v>
      </c>
      <c r="H6" s="29">
        <v>1</v>
      </c>
      <c r="I6" s="28" t="s">
        <v>18</v>
      </c>
      <c r="J6" s="27">
        <f>IFERROR(VLOOKUP(F6&amp;G6&amp;I6,Sheet1!$A$1:$B$70,2,0)*$H6,"")</f>
        <v>4</v>
      </c>
      <c r="K6" s="57"/>
      <c r="L6" s="27"/>
    </row>
    <row r="7" spans="1:12" x14ac:dyDescent="0.25">
      <c r="A7" s="30">
        <v>4</v>
      </c>
      <c r="B7" s="57"/>
      <c r="C7" s="54"/>
      <c r="D7" s="54"/>
      <c r="E7" s="54"/>
      <c r="F7" s="29" t="s">
        <v>66</v>
      </c>
      <c r="G7" s="29" t="s">
        <v>155</v>
      </c>
      <c r="H7" s="29">
        <v>1</v>
      </c>
      <c r="I7" s="28" t="s">
        <v>16</v>
      </c>
      <c r="J7" s="27">
        <f>IFERROR(VLOOKUP(F7&amp;G7&amp;I7,Sheet1!$A$1:$B$70,2,0)*$H7,"")</f>
        <v>9</v>
      </c>
      <c r="K7" s="57"/>
      <c r="L7" s="27"/>
    </row>
    <row r="8" spans="1:12" x14ac:dyDescent="0.25">
      <c r="A8" s="30">
        <v>5</v>
      </c>
      <c r="B8" s="57"/>
      <c r="C8" s="54"/>
      <c r="D8" s="54"/>
      <c r="E8" s="54"/>
      <c r="F8" s="29" t="s">
        <v>66</v>
      </c>
      <c r="G8" s="29" t="s">
        <v>67</v>
      </c>
      <c r="H8" s="29">
        <v>2</v>
      </c>
      <c r="I8" s="28" t="s">
        <v>16</v>
      </c>
      <c r="J8" s="27">
        <f>IFERROR(VLOOKUP(F8&amp;G8&amp;I8,Sheet1!$A$1:$B$70,2,0)*$H8,"")</f>
        <v>12</v>
      </c>
      <c r="K8" s="57"/>
      <c r="L8" s="27"/>
    </row>
    <row r="9" spans="1:12" x14ac:dyDescent="0.25">
      <c r="A9" s="30">
        <v>6</v>
      </c>
      <c r="B9" s="57"/>
      <c r="C9" s="54"/>
      <c r="D9" s="55"/>
      <c r="E9" s="55"/>
      <c r="F9" s="29" t="s">
        <v>66</v>
      </c>
      <c r="G9" s="29" t="s">
        <v>65</v>
      </c>
      <c r="H9" s="29">
        <v>1</v>
      </c>
      <c r="I9" s="28" t="s">
        <v>15</v>
      </c>
      <c r="J9" s="27">
        <f>IFERROR(VLOOKUP(F9&amp;G9&amp;I9,Sheet1!$A$1:$B$70,2,0)*$H9,"")</f>
        <v>6</v>
      </c>
      <c r="K9" s="57"/>
      <c r="L9" s="27"/>
    </row>
    <row r="10" spans="1:12" x14ac:dyDescent="0.25">
      <c r="A10" s="30">
        <v>7</v>
      </c>
      <c r="B10" s="57"/>
      <c r="C10" s="54"/>
      <c r="D10" s="56" t="s">
        <v>91</v>
      </c>
      <c r="E10" s="53" t="s">
        <v>89</v>
      </c>
      <c r="F10" s="29" t="s">
        <v>23</v>
      </c>
      <c r="G10" s="29" t="s">
        <v>64</v>
      </c>
      <c r="H10" s="29">
        <v>1</v>
      </c>
      <c r="I10" s="28" t="s">
        <v>17</v>
      </c>
      <c r="J10" s="27">
        <f>IFERROR(VLOOKUP(F10&amp;G10&amp;I10,Sheet1!$A$1:$B$70,2,0)*$H10,"")</f>
        <v>1</v>
      </c>
      <c r="K10" s="57"/>
      <c r="L10" s="27"/>
    </row>
    <row r="11" spans="1:12" x14ac:dyDescent="0.25">
      <c r="A11" s="30">
        <v>8</v>
      </c>
      <c r="B11" s="57"/>
      <c r="C11" s="54"/>
      <c r="D11" s="57"/>
      <c r="E11" s="54"/>
      <c r="F11" s="29" t="s">
        <v>23</v>
      </c>
      <c r="G11" s="29" t="s">
        <v>70</v>
      </c>
      <c r="H11" s="29">
        <v>3</v>
      </c>
      <c r="I11" s="28" t="s">
        <v>16</v>
      </c>
      <c r="J11" s="27">
        <f>IFERROR(VLOOKUP(F11&amp;G11&amp;I11,Sheet1!$A$1:$B$70,2,0)*$H11,"")</f>
        <v>13.5</v>
      </c>
      <c r="K11" s="57"/>
      <c r="L11" s="27"/>
    </row>
    <row r="12" spans="1:12" x14ac:dyDescent="0.25">
      <c r="A12" s="30">
        <v>9</v>
      </c>
      <c r="B12" s="57"/>
      <c r="C12" s="54"/>
      <c r="D12" s="57"/>
      <c r="E12" s="54"/>
      <c r="F12" s="29" t="s">
        <v>23</v>
      </c>
      <c r="G12" s="29" t="s">
        <v>69</v>
      </c>
      <c r="H12" s="29">
        <v>2</v>
      </c>
      <c r="I12" s="28" t="s">
        <v>15</v>
      </c>
      <c r="J12" s="27">
        <f>IFERROR(VLOOKUP(F12&amp;G12&amp;I12,Sheet1!$A$1:$B$70,2,0)*$H12,"")</f>
        <v>12</v>
      </c>
      <c r="K12" s="57"/>
      <c r="L12" s="27"/>
    </row>
    <row r="13" spans="1:12" x14ac:dyDescent="0.25">
      <c r="A13" s="30">
        <v>10</v>
      </c>
      <c r="B13" s="57"/>
      <c r="C13" s="54"/>
      <c r="D13" s="57"/>
      <c r="E13" s="54"/>
      <c r="F13" s="29" t="s">
        <v>23</v>
      </c>
      <c r="G13" s="29" t="s">
        <v>68</v>
      </c>
      <c r="H13" s="29">
        <v>4</v>
      </c>
      <c r="I13" s="28" t="s">
        <v>17</v>
      </c>
      <c r="J13" s="27">
        <f>IFERROR(VLOOKUP(F13&amp;G13&amp;I13,Sheet1!$A$1:$B$70,2,0)*$H13,"")</f>
        <v>16</v>
      </c>
      <c r="K13" s="57"/>
      <c r="L13" s="27"/>
    </row>
    <row r="14" spans="1:12" x14ac:dyDescent="0.25">
      <c r="A14" s="30"/>
      <c r="B14" s="57"/>
      <c r="C14" s="54"/>
      <c r="D14" s="57"/>
      <c r="E14" s="54"/>
      <c r="F14" s="29" t="s">
        <v>23</v>
      </c>
      <c r="G14" s="29" t="s">
        <v>155</v>
      </c>
      <c r="H14" s="29">
        <v>1</v>
      </c>
      <c r="I14" s="28" t="s">
        <v>16</v>
      </c>
      <c r="J14" s="27">
        <f>IFERROR(VLOOKUP(F14&amp;G14&amp;I14,Sheet1!$A$1:$B$70,2,0)*$H14,"")</f>
        <v>7.5</v>
      </c>
      <c r="K14" s="57"/>
      <c r="L14" s="27"/>
    </row>
    <row r="15" spans="1:12" x14ac:dyDescent="0.25">
      <c r="A15" s="30">
        <v>11</v>
      </c>
      <c r="B15" s="57"/>
      <c r="C15" s="54"/>
      <c r="D15" s="57"/>
      <c r="E15" s="54"/>
      <c r="F15" s="29" t="s">
        <v>23</v>
      </c>
      <c r="G15" s="29" t="s">
        <v>67</v>
      </c>
      <c r="H15" s="29">
        <v>1</v>
      </c>
      <c r="I15" s="28" t="s">
        <v>18</v>
      </c>
      <c r="J15" s="27">
        <f>IFERROR(VLOOKUP(F15&amp;G15&amp;I15,Sheet1!$A$1:$B$70,2,0)*$H15,"")</f>
        <v>1.6</v>
      </c>
      <c r="K15" s="57"/>
      <c r="L15" s="27"/>
    </row>
    <row r="16" spans="1:12" x14ac:dyDescent="0.25">
      <c r="A16" s="30">
        <v>12</v>
      </c>
      <c r="B16" s="58"/>
      <c r="C16" s="55"/>
      <c r="D16" s="58"/>
      <c r="E16" s="55"/>
      <c r="F16" s="29" t="s">
        <v>23</v>
      </c>
      <c r="G16" s="29" t="s">
        <v>65</v>
      </c>
      <c r="H16" s="29">
        <v>1</v>
      </c>
      <c r="I16" s="28" t="s">
        <v>19</v>
      </c>
      <c r="J16" s="27">
        <f>IFERROR(VLOOKUP(F16&amp;G16&amp;I16,Sheet1!$A$1:$B$70,2,0)*$H16,"")</f>
        <v>1</v>
      </c>
      <c r="K16" s="58"/>
      <c r="L16" s="27"/>
    </row>
    <row r="17" spans="1:12" x14ac:dyDescent="0.25">
      <c r="A17" s="30">
        <v>13</v>
      </c>
      <c r="B17" s="29"/>
      <c r="C17" s="29"/>
      <c r="D17" s="30"/>
      <c r="E17" s="29"/>
      <c r="F17" s="29"/>
      <c r="G17" s="29"/>
      <c r="H17" s="29"/>
      <c r="I17" s="28"/>
      <c r="J17" s="27" t="str">
        <f>IFERROR(VLOOKUP(F17&amp;G17&amp;I17,[1]Sheet1!F17:G76,2,0)*$H17,"")</f>
        <v/>
      </c>
      <c r="K17" s="27"/>
      <c r="L17" s="27"/>
    </row>
    <row r="18" spans="1:12" x14ac:dyDescent="0.25">
      <c r="A18" s="30">
        <v>14</v>
      </c>
      <c r="B18" s="29"/>
      <c r="C18" s="29"/>
      <c r="D18" s="30"/>
      <c r="E18" s="29"/>
      <c r="F18" s="29"/>
      <c r="G18" s="29"/>
      <c r="H18" s="29"/>
      <c r="I18" s="28"/>
      <c r="J18" s="27" t="str">
        <f>IFERROR(VLOOKUP(F18&amp;G18&amp;I18,[1]Sheet1!F18:G77,2,0)*$H18,"")</f>
        <v/>
      </c>
      <c r="K18" s="27"/>
      <c r="L18" s="27"/>
    </row>
    <row r="19" spans="1:12" x14ac:dyDescent="0.25">
      <c r="A19" s="30">
        <v>15</v>
      </c>
      <c r="B19" s="29"/>
      <c r="C19" s="29"/>
      <c r="D19" s="30"/>
      <c r="E19" s="29"/>
      <c r="F19" s="29"/>
      <c r="G19" s="29"/>
      <c r="H19" s="29"/>
      <c r="I19" s="28"/>
      <c r="J19" s="27" t="str">
        <f>IFERROR(VLOOKUP(F19&amp;G19&amp;I19,[1]Sheet1!F19:G78,2,0)*$H19,"")</f>
        <v/>
      </c>
      <c r="K19" s="27"/>
      <c r="L19" s="27"/>
    </row>
    <row r="20" spans="1:12" x14ac:dyDescent="0.25">
      <c r="A20" s="30">
        <v>16</v>
      </c>
      <c r="B20" s="29"/>
      <c r="C20" s="29"/>
      <c r="D20" s="30"/>
      <c r="E20" s="29"/>
      <c r="F20" s="29"/>
      <c r="G20" s="29"/>
      <c r="H20" s="29"/>
      <c r="I20" s="28"/>
      <c r="J20" s="27" t="str">
        <f>IFERROR(VLOOKUP(F20&amp;G20&amp;I20,[1]Sheet1!F20:G79,2,0)*$H20,"")</f>
        <v/>
      </c>
      <c r="K20" s="27"/>
      <c r="L20" s="27"/>
    </row>
    <row r="21" spans="1:12" x14ac:dyDescent="0.25">
      <c r="A21" s="30">
        <v>17</v>
      </c>
      <c r="B21" s="29"/>
      <c r="C21" s="29"/>
      <c r="D21" s="30"/>
      <c r="E21" s="29"/>
      <c r="F21" s="29"/>
      <c r="G21" s="29"/>
      <c r="H21" s="29"/>
      <c r="I21" s="28"/>
      <c r="J21" s="27" t="str">
        <f>IFERROR(VLOOKUP(F21&amp;G21&amp;I21,[1]Sheet1!F21:G80,2,0)*$H21,"")</f>
        <v/>
      </c>
      <c r="K21" s="27"/>
      <c r="L21" s="27"/>
    </row>
    <row r="22" spans="1:12" x14ac:dyDescent="0.25">
      <c r="A22" s="30">
        <v>18</v>
      </c>
      <c r="B22" s="29"/>
      <c r="C22" s="29"/>
      <c r="D22" s="30"/>
      <c r="E22" s="29"/>
      <c r="F22" s="29"/>
      <c r="G22" s="29"/>
      <c r="H22" s="29"/>
      <c r="I22" s="28"/>
      <c r="J22" s="27" t="str">
        <f>IFERROR(VLOOKUP(F22&amp;G22&amp;I22,[1]Sheet1!F22:G81,2,0)*$H22,"")</f>
        <v/>
      </c>
      <c r="K22" s="27"/>
      <c r="L22" s="27"/>
    </row>
    <row r="23" spans="1:12" x14ac:dyDescent="0.25">
      <c r="A23" s="30">
        <v>19</v>
      </c>
      <c r="B23" s="29"/>
      <c r="C23" s="29"/>
      <c r="D23" s="30"/>
      <c r="E23" s="29"/>
      <c r="F23" s="29"/>
      <c r="G23" s="29"/>
      <c r="H23" s="29"/>
      <c r="I23" s="28"/>
      <c r="J23" s="27" t="str">
        <f>IFERROR(VLOOKUP(F23&amp;G23&amp;I23,[1]Sheet1!F23:G82,2,0)*$H23,"")</f>
        <v/>
      </c>
      <c r="K23" s="27"/>
      <c r="L23" s="27"/>
    </row>
    <row r="24" spans="1:12" x14ac:dyDescent="0.25">
      <c r="A24" s="30">
        <v>20</v>
      </c>
      <c r="B24" s="29"/>
      <c r="C24" s="29"/>
      <c r="D24" s="30"/>
      <c r="E24" s="29"/>
      <c r="F24" s="29"/>
      <c r="G24" s="29"/>
      <c r="H24" s="29"/>
      <c r="I24" s="28"/>
      <c r="J24" s="27" t="str">
        <f>IFERROR(VLOOKUP(F24&amp;G24&amp;I24,[1]Sheet1!F24:G83,2,0)*$H24,"")</f>
        <v/>
      </c>
      <c r="K24" s="27"/>
      <c r="L24" s="27"/>
    </row>
  </sheetData>
  <mergeCells count="19">
    <mergeCell ref="K1:K2"/>
    <mergeCell ref="L1:L2"/>
    <mergeCell ref="E3:E9"/>
    <mergeCell ref="D3:D9"/>
    <mergeCell ref="F1:F2"/>
    <mergeCell ref="G1:G2"/>
    <mergeCell ref="H1:H2"/>
    <mergeCell ref="I1:I2"/>
    <mergeCell ref="J1:J2"/>
    <mergeCell ref="A1:A2"/>
    <mergeCell ref="B1:B2"/>
    <mergeCell ref="C1:C2"/>
    <mergeCell ref="D1:D2"/>
    <mergeCell ref="E1:E2"/>
    <mergeCell ref="E10:E16"/>
    <mergeCell ref="D10:D16"/>
    <mergeCell ref="C3:C16"/>
    <mergeCell ref="B3:B16"/>
    <mergeCell ref="K3:K16"/>
  </mergeCells>
  <phoneticPr fontId="9" type="noConversion"/>
  <dataValidations count="2">
    <dataValidation type="list" allowBlank="1" showInputMessage="1" showErrorMessage="1" sqref="F3:F24" xr:uid="{3B3CE1A1-6D2E-43C7-ADAA-1B656E59182B}">
      <formula1>"新增,修改"</formula1>
    </dataValidation>
    <dataValidation type="list" allowBlank="1" showInputMessage="1" showErrorMessage="1" sqref="I3:I24" xr:uid="{FC970879-2951-4131-B791-4D6DC4A1C3D5}">
      <formula1>"极低,低,中,高,极高"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BFD5E-21E9-400E-AE07-1AB56849469E}">
  <dimension ref="A1:D48"/>
  <sheetViews>
    <sheetView showGridLines="0" view="pageBreakPreview" zoomScale="55" zoomScaleNormal="100" workbookViewId="0">
      <selection activeCell="J38" sqref="J38"/>
    </sheetView>
  </sheetViews>
  <sheetFormatPr defaultColWidth="9.453125" defaultRowHeight="16.5" x14ac:dyDescent="0.45"/>
  <cols>
    <col min="1" max="1" width="14.6328125" style="15" customWidth="1"/>
    <col min="2" max="2" width="12.7265625" style="15" customWidth="1"/>
    <col min="3" max="3" width="10.1796875" style="15" customWidth="1"/>
    <col min="4" max="4" width="71.7265625" style="15" customWidth="1"/>
    <col min="5" max="16384" width="9.453125" style="15"/>
  </cols>
  <sheetData>
    <row r="1" spans="1:4" ht="20" x14ac:dyDescent="0.45">
      <c r="A1" s="66" t="s">
        <v>63</v>
      </c>
      <c r="B1" s="67"/>
      <c r="C1" s="67"/>
    </row>
    <row r="2" spans="1:4" x14ac:dyDescent="0.45">
      <c r="A2" s="68" t="s">
        <v>20</v>
      </c>
      <c r="B2" s="70" t="s">
        <v>21</v>
      </c>
      <c r="C2" s="70"/>
      <c r="D2" s="17"/>
    </row>
    <row r="3" spans="1:4" x14ac:dyDescent="0.45">
      <c r="A3" s="69"/>
      <c r="B3" s="16" t="s">
        <v>22</v>
      </c>
      <c r="C3" s="16" t="s">
        <v>23</v>
      </c>
      <c r="D3" s="17"/>
    </row>
    <row r="4" spans="1:4" x14ac:dyDescent="0.45">
      <c r="A4" s="18" t="s">
        <v>7</v>
      </c>
      <c r="B4" s="19">
        <v>2</v>
      </c>
      <c r="C4" s="19">
        <v>1</v>
      </c>
      <c r="D4" s="17"/>
    </row>
    <row r="5" spans="1:4" x14ac:dyDescent="0.45">
      <c r="A5" s="18" t="s">
        <v>8</v>
      </c>
      <c r="B5" s="19">
        <v>5</v>
      </c>
      <c r="C5" s="19">
        <v>3</v>
      </c>
      <c r="D5" s="17"/>
    </row>
    <row r="6" spans="1:4" x14ac:dyDescent="0.45">
      <c r="A6" s="18" t="s">
        <v>9</v>
      </c>
      <c r="B6" s="19">
        <v>4</v>
      </c>
      <c r="C6" s="19">
        <v>3</v>
      </c>
      <c r="D6" s="17"/>
    </row>
    <row r="7" spans="1:4" x14ac:dyDescent="0.45">
      <c r="A7" s="18" t="s">
        <v>10</v>
      </c>
      <c r="B7" s="19">
        <v>5</v>
      </c>
      <c r="C7" s="19">
        <v>4</v>
      </c>
      <c r="D7" s="17"/>
    </row>
    <row r="8" spans="1:4" x14ac:dyDescent="0.45">
      <c r="A8" s="18" t="s">
        <v>11</v>
      </c>
      <c r="B8" s="19">
        <v>6</v>
      </c>
      <c r="C8" s="19">
        <v>5</v>
      </c>
      <c r="D8" s="17"/>
    </row>
    <row r="9" spans="1:4" x14ac:dyDescent="0.45">
      <c r="A9" s="18" t="s">
        <v>12</v>
      </c>
      <c r="B9" s="19">
        <v>4</v>
      </c>
      <c r="C9" s="19">
        <v>2</v>
      </c>
      <c r="D9" s="17"/>
    </row>
    <row r="10" spans="1:4" x14ac:dyDescent="0.45">
      <c r="A10" s="18" t="s">
        <v>13</v>
      </c>
      <c r="B10" s="19">
        <v>3</v>
      </c>
      <c r="C10" s="19">
        <v>2</v>
      </c>
      <c r="D10" s="17"/>
    </row>
    <row r="11" spans="1:4" ht="5" customHeight="1" x14ac:dyDescent="0.45"/>
    <row r="12" spans="1:4" ht="26" customHeight="1" x14ac:dyDescent="0.45">
      <c r="A12" s="66" t="s">
        <v>24</v>
      </c>
      <c r="B12" s="67"/>
      <c r="C12" s="67"/>
      <c r="D12" s="67"/>
    </row>
    <row r="13" spans="1:4" x14ac:dyDescent="0.45">
      <c r="A13" s="16" t="s">
        <v>20</v>
      </c>
      <c r="B13" s="16" t="s">
        <v>25</v>
      </c>
      <c r="C13" s="20" t="s">
        <v>26</v>
      </c>
      <c r="D13" s="20" t="s">
        <v>27</v>
      </c>
    </row>
    <row r="14" spans="1:4" x14ac:dyDescent="0.45">
      <c r="A14" s="65" t="s">
        <v>7</v>
      </c>
      <c r="B14" s="18" t="s">
        <v>15</v>
      </c>
      <c r="C14" s="19">
        <v>2</v>
      </c>
      <c r="D14" s="21" t="s">
        <v>28</v>
      </c>
    </row>
    <row r="15" spans="1:4" x14ac:dyDescent="0.45">
      <c r="A15" s="65"/>
      <c r="B15" s="18" t="s">
        <v>16</v>
      </c>
      <c r="C15" s="19">
        <v>1.5</v>
      </c>
      <c r="D15" s="21" t="s">
        <v>29</v>
      </c>
    </row>
    <row r="16" spans="1:4" x14ac:dyDescent="0.45">
      <c r="A16" s="65"/>
      <c r="B16" s="18" t="s">
        <v>17</v>
      </c>
      <c r="C16" s="19">
        <v>1</v>
      </c>
      <c r="D16" s="21" t="s">
        <v>30</v>
      </c>
    </row>
    <row r="17" spans="1:4" x14ac:dyDescent="0.45">
      <c r="A17" s="65"/>
      <c r="B17" s="18" t="s">
        <v>18</v>
      </c>
      <c r="C17" s="19">
        <v>0.8</v>
      </c>
      <c r="D17" s="21" t="s">
        <v>31</v>
      </c>
    </row>
    <row r="18" spans="1:4" ht="33" x14ac:dyDescent="0.45">
      <c r="A18" s="65"/>
      <c r="B18" s="18" t="s">
        <v>19</v>
      </c>
      <c r="C18" s="19">
        <v>0.5</v>
      </c>
      <c r="D18" s="22" t="s">
        <v>32</v>
      </c>
    </row>
    <row r="19" spans="1:4" x14ac:dyDescent="0.45">
      <c r="A19" s="65" t="s">
        <v>8</v>
      </c>
      <c r="B19" s="18" t="s">
        <v>15</v>
      </c>
      <c r="C19" s="19">
        <v>2</v>
      </c>
      <c r="D19" s="21" t="s">
        <v>33</v>
      </c>
    </row>
    <row r="20" spans="1:4" x14ac:dyDescent="0.45">
      <c r="A20" s="65"/>
      <c r="B20" s="18" t="s">
        <v>16</v>
      </c>
      <c r="C20" s="19">
        <v>1.5</v>
      </c>
      <c r="D20" s="21" t="s">
        <v>34</v>
      </c>
    </row>
    <row r="21" spans="1:4" x14ac:dyDescent="0.45">
      <c r="A21" s="65"/>
      <c r="B21" s="18" t="s">
        <v>17</v>
      </c>
      <c r="C21" s="19">
        <v>1</v>
      </c>
      <c r="D21" s="21" t="s">
        <v>35</v>
      </c>
    </row>
    <row r="22" spans="1:4" x14ac:dyDescent="0.45">
      <c r="A22" s="65"/>
      <c r="B22" s="18" t="s">
        <v>18</v>
      </c>
      <c r="C22" s="19">
        <v>0.8</v>
      </c>
      <c r="D22" s="23" t="s">
        <v>36</v>
      </c>
    </row>
    <row r="23" spans="1:4" x14ac:dyDescent="0.45">
      <c r="A23" s="65"/>
      <c r="B23" s="18" t="s">
        <v>19</v>
      </c>
      <c r="C23" s="19">
        <v>0.5</v>
      </c>
      <c r="D23" s="21" t="s">
        <v>37</v>
      </c>
    </row>
    <row r="24" spans="1:4" x14ac:dyDescent="0.45">
      <c r="A24" s="65" t="s">
        <v>9</v>
      </c>
      <c r="B24" s="18" t="s">
        <v>15</v>
      </c>
      <c r="C24" s="19">
        <v>2</v>
      </c>
      <c r="D24" s="21" t="s">
        <v>38</v>
      </c>
    </row>
    <row r="25" spans="1:4" x14ac:dyDescent="0.45">
      <c r="A25" s="65"/>
      <c r="B25" s="18" t="s">
        <v>16</v>
      </c>
      <c r="C25" s="19">
        <v>1.5</v>
      </c>
      <c r="D25" s="21" t="s">
        <v>39</v>
      </c>
    </row>
    <row r="26" spans="1:4" x14ac:dyDescent="0.45">
      <c r="A26" s="65"/>
      <c r="B26" s="18" t="s">
        <v>17</v>
      </c>
      <c r="C26" s="19">
        <v>1</v>
      </c>
      <c r="D26" s="21" t="s">
        <v>40</v>
      </c>
    </row>
    <row r="27" spans="1:4" x14ac:dyDescent="0.45">
      <c r="A27" s="65"/>
      <c r="B27" s="18" t="s">
        <v>18</v>
      </c>
      <c r="C27" s="19">
        <v>0.8</v>
      </c>
      <c r="D27" s="21" t="s">
        <v>41</v>
      </c>
    </row>
    <row r="28" spans="1:4" x14ac:dyDescent="0.45">
      <c r="A28" s="65"/>
      <c r="B28" s="18" t="s">
        <v>19</v>
      </c>
      <c r="C28" s="19">
        <v>0.5</v>
      </c>
      <c r="D28" s="21" t="s">
        <v>42</v>
      </c>
    </row>
    <row r="29" spans="1:4" x14ac:dyDescent="0.45">
      <c r="A29" s="65" t="s">
        <v>10</v>
      </c>
      <c r="B29" s="18" t="s">
        <v>15</v>
      </c>
      <c r="C29" s="19">
        <v>2</v>
      </c>
      <c r="D29" s="21" t="s">
        <v>43</v>
      </c>
    </row>
    <row r="30" spans="1:4" x14ac:dyDescent="0.45">
      <c r="A30" s="65"/>
      <c r="B30" s="18" t="s">
        <v>16</v>
      </c>
      <c r="C30" s="19">
        <v>1.5</v>
      </c>
      <c r="D30" s="21" t="s">
        <v>44</v>
      </c>
    </row>
    <row r="31" spans="1:4" x14ac:dyDescent="0.45">
      <c r="A31" s="65"/>
      <c r="B31" s="18" t="s">
        <v>17</v>
      </c>
      <c r="C31" s="19">
        <v>1</v>
      </c>
      <c r="D31" s="21" t="s">
        <v>45</v>
      </c>
    </row>
    <row r="32" spans="1:4" x14ac:dyDescent="0.45">
      <c r="A32" s="65"/>
      <c r="B32" s="18" t="s">
        <v>18</v>
      </c>
      <c r="C32" s="19">
        <v>0.8</v>
      </c>
      <c r="D32" s="21" t="s">
        <v>46</v>
      </c>
    </row>
    <row r="33" spans="1:4" x14ac:dyDescent="0.45">
      <c r="A33" s="65"/>
      <c r="B33" s="18" t="s">
        <v>19</v>
      </c>
      <c r="C33" s="19">
        <v>0.5</v>
      </c>
      <c r="D33" s="21" t="s">
        <v>47</v>
      </c>
    </row>
    <row r="34" spans="1:4" x14ac:dyDescent="0.45">
      <c r="A34" s="65" t="s">
        <v>11</v>
      </c>
      <c r="B34" s="18" t="s">
        <v>15</v>
      </c>
      <c r="C34" s="19">
        <v>2</v>
      </c>
      <c r="D34" s="21" t="s">
        <v>48</v>
      </c>
    </row>
    <row r="35" spans="1:4" x14ac:dyDescent="0.45">
      <c r="A35" s="65"/>
      <c r="B35" s="18" t="s">
        <v>16</v>
      </c>
      <c r="C35" s="19">
        <v>1.5</v>
      </c>
      <c r="D35" s="21" t="s">
        <v>49</v>
      </c>
    </row>
    <row r="36" spans="1:4" x14ac:dyDescent="0.45">
      <c r="A36" s="65"/>
      <c r="B36" s="18" t="s">
        <v>17</v>
      </c>
      <c r="C36" s="19">
        <v>1</v>
      </c>
      <c r="D36" s="21" t="s">
        <v>50</v>
      </c>
    </row>
    <row r="37" spans="1:4" x14ac:dyDescent="0.45">
      <c r="A37" s="65"/>
      <c r="B37" s="18" t="s">
        <v>18</v>
      </c>
      <c r="C37" s="19">
        <v>0.8</v>
      </c>
      <c r="D37" s="21" t="s">
        <v>51</v>
      </c>
    </row>
    <row r="38" spans="1:4" x14ac:dyDescent="0.45">
      <c r="A38" s="65"/>
      <c r="B38" s="18" t="s">
        <v>19</v>
      </c>
      <c r="C38" s="19">
        <v>0.5</v>
      </c>
      <c r="D38" s="21" t="s">
        <v>52</v>
      </c>
    </row>
    <row r="39" spans="1:4" x14ac:dyDescent="0.45">
      <c r="A39" s="65" t="s">
        <v>12</v>
      </c>
      <c r="B39" s="18" t="s">
        <v>15</v>
      </c>
      <c r="C39" s="19">
        <v>2</v>
      </c>
      <c r="D39" s="21" t="s">
        <v>53</v>
      </c>
    </row>
    <row r="40" spans="1:4" x14ac:dyDescent="0.45">
      <c r="A40" s="65"/>
      <c r="B40" s="18" t="s">
        <v>16</v>
      </c>
      <c r="C40" s="19">
        <v>1.5</v>
      </c>
      <c r="D40" s="21" t="s">
        <v>54</v>
      </c>
    </row>
    <row r="41" spans="1:4" x14ac:dyDescent="0.45">
      <c r="A41" s="65"/>
      <c r="B41" s="18" t="s">
        <v>17</v>
      </c>
      <c r="C41" s="19">
        <v>1</v>
      </c>
      <c r="D41" s="21" t="s">
        <v>55</v>
      </c>
    </row>
    <row r="42" spans="1:4" x14ac:dyDescent="0.45">
      <c r="A42" s="65"/>
      <c r="B42" s="18" t="s">
        <v>18</v>
      </c>
      <c r="C42" s="19">
        <v>0.8</v>
      </c>
      <c r="D42" s="21" t="s">
        <v>56</v>
      </c>
    </row>
    <row r="43" spans="1:4" x14ac:dyDescent="0.45">
      <c r="A43" s="65"/>
      <c r="B43" s="18" t="s">
        <v>19</v>
      </c>
      <c r="C43" s="19">
        <v>0.5</v>
      </c>
      <c r="D43" s="21" t="s">
        <v>57</v>
      </c>
    </row>
    <row r="44" spans="1:4" x14ac:dyDescent="0.45">
      <c r="A44" s="65" t="s">
        <v>13</v>
      </c>
      <c r="B44" s="18" t="s">
        <v>15</v>
      </c>
      <c r="C44" s="19">
        <v>2</v>
      </c>
      <c r="D44" s="21" t="s">
        <v>58</v>
      </c>
    </row>
    <row r="45" spans="1:4" x14ac:dyDescent="0.45">
      <c r="A45" s="65"/>
      <c r="B45" s="18" t="s">
        <v>16</v>
      </c>
      <c r="C45" s="19">
        <v>1.5</v>
      </c>
      <c r="D45" s="21" t="s">
        <v>59</v>
      </c>
    </row>
    <row r="46" spans="1:4" x14ac:dyDescent="0.45">
      <c r="A46" s="65"/>
      <c r="B46" s="18" t="s">
        <v>17</v>
      </c>
      <c r="C46" s="19">
        <v>1</v>
      </c>
      <c r="D46" s="21" t="s">
        <v>60</v>
      </c>
    </row>
    <row r="47" spans="1:4" x14ac:dyDescent="0.45">
      <c r="A47" s="65"/>
      <c r="B47" s="18" t="s">
        <v>18</v>
      </c>
      <c r="C47" s="19">
        <v>0.8</v>
      </c>
      <c r="D47" s="21" t="s">
        <v>61</v>
      </c>
    </row>
    <row r="48" spans="1:4" x14ac:dyDescent="0.45">
      <c r="A48" s="65"/>
      <c r="B48" s="18" t="s">
        <v>19</v>
      </c>
      <c r="C48" s="19">
        <v>0.5</v>
      </c>
      <c r="D48" s="21" t="s">
        <v>62</v>
      </c>
    </row>
  </sheetData>
  <mergeCells count="11">
    <mergeCell ref="A19:A23"/>
    <mergeCell ref="A1:C1"/>
    <mergeCell ref="A2:A3"/>
    <mergeCell ref="B2:C2"/>
    <mergeCell ref="A12:D12"/>
    <mergeCell ref="A14:A18"/>
    <mergeCell ref="A24:A28"/>
    <mergeCell ref="A29:A33"/>
    <mergeCell ref="A34:A38"/>
    <mergeCell ref="A39:A43"/>
    <mergeCell ref="A44:A48"/>
  </mergeCells>
  <phoneticPr fontId="9" type="noConversion"/>
  <pageMargins left="0.75" right="0.75" top="1" bottom="1" header="0.5" footer="0.5"/>
  <pageSetup paperSize="9" scale="80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4EEA4-BFE8-4E4E-ABAB-DFFA5C73DECA}">
  <dimension ref="A1:B70"/>
  <sheetViews>
    <sheetView topLeftCell="A45" workbookViewId="0">
      <selection activeCell="K71" sqref="K71"/>
    </sheetView>
  </sheetViews>
  <sheetFormatPr defaultRowHeight="14" x14ac:dyDescent="0.25"/>
  <cols>
    <col min="1" max="1" width="16.90625" customWidth="1"/>
  </cols>
  <sheetData>
    <row r="1" spans="1:2" x14ac:dyDescent="0.25">
      <c r="A1" s="33" t="s">
        <v>95</v>
      </c>
      <c r="B1" s="33">
        <v>4</v>
      </c>
    </row>
    <row r="2" spans="1:2" x14ac:dyDescent="0.25">
      <c r="A2" s="33" t="s">
        <v>96</v>
      </c>
      <c r="B2" s="33">
        <v>3</v>
      </c>
    </row>
    <row r="3" spans="1:2" x14ac:dyDescent="0.25">
      <c r="A3" s="33" t="s">
        <v>97</v>
      </c>
      <c r="B3" s="33">
        <v>2</v>
      </c>
    </row>
    <row r="4" spans="1:2" x14ac:dyDescent="0.25">
      <c r="A4" s="33" t="s">
        <v>98</v>
      </c>
      <c r="B4" s="33">
        <v>1.6</v>
      </c>
    </row>
    <row r="5" spans="1:2" x14ac:dyDescent="0.25">
      <c r="A5" s="33" t="s">
        <v>99</v>
      </c>
      <c r="B5" s="33">
        <v>1</v>
      </c>
    </row>
    <row r="6" spans="1:2" x14ac:dyDescent="0.25">
      <c r="A6" s="33" t="s">
        <v>100</v>
      </c>
      <c r="B6" s="33">
        <v>10</v>
      </c>
    </row>
    <row r="7" spans="1:2" x14ac:dyDescent="0.25">
      <c r="A7" s="33" t="s">
        <v>101</v>
      </c>
      <c r="B7" s="33">
        <v>7.5</v>
      </c>
    </row>
    <row r="8" spans="1:2" x14ac:dyDescent="0.25">
      <c r="A8" s="33" t="s">
        <v>102</v>
      </c>
      <c r="B8" s="33">
        <v>5</v>
      </c>
    </row>
    <row r="9" spans="1:2" x14ac:dyDescent="0.25">
      <c r="A9" s="33" t="s">
        <v>103</v>
      </c>
      <c r="B9" s="33">
        <v>4</v>
      </c>
    </row>
    <row r="10" spans="1:2" x14ac:dyDescent="0.25">
      <c r="A10" s="33" t="s">
        <v>104</v>
      </c>
      <c r="B10" s="33">
        <v>2.5</v>
      </c>
    </row>
    <row r="11" spans="1:2" x14ac:dyDescent="0.25">
      <c r="A11" s="33" t="s">
        <v>105</v>
      </c>
      <c r="B11" s="33">
        <v>8</v>
      </c>
    </row>
    <row r="12" spans="1:2" x14ac:dyDescent="0.25">
      <c r="A12" s="33" t="s">
        <v>106</v>
      </c>
      <c r="B12" s="33">
        <v>6</v>
      </c>
    </row>
    <row r="13" spans="1:2" x14ac:dyDescent="0.25">
      <c r="A13" s="33" t="s">
        <v>107</v>
      </c>
      <c r="B13" s="33">
        <v>4</v>
      </c>
    </row>
    <row r="14" spans="1:2" x14ac:dyDescent="0.25">
      <c r="A14" s="33" t="s">
        <v>108</v>
      </c>
      <c r="B14" s="33">
        <v>3.2</v>
      </c>
    </row>
    <row r="15" spans="1:2" x14ac:dyDescent="0.25">
      <c r="A15" s="33" t="s">
        <v>109</v>
      </c>
      <c r="B15" s="33">
        <v>2</v>
      </c>
    </row>
    <row r="16" spans="1:2" x14ac:dyDescent="0.25">
      <c r="A16" s="33" t="s">
        <v>110</v>
      </c>
      <c r="B16" s="33">
        <v>10</v>
      </c>
    </row>
    <row r="17" spans="1:2" x14ac:dyDescent="0.25">
      <c r="A17" s="33" t="s">
        <v>111</v>
      </c>
      <c r="B17" s="33">
        <v>7.5</v>
      </c>
    </row>
    <row r="18" spans="1:2" x14ac:dyDescent="0.25">
      <c r="A18" s="33" t="s">
        <v>112</v>
      </c>
      <c r="B18" s="33">
        <v>5</v>
      </c>
    </row>
    <row r="19" spans="1:2" x14ac:dyDescent="0.25">
      <c r="A19" s="33" t="s">
        <v>113</v>
      </c>
      <c r="B19" s="33">
        <v>4</v>
      </c>
    </row>
    <row r="20" spans="1:2" x14ac:dyDescent="0.25">
      <c r="A20" s="33" t="s">
        <v>114</v>
      </c>
      <c r="B20" s="33">
        <v>2.5</v>
      </c>
    </row>
    <row r="21" spans="1:2" x14ac:dyDescent="0.25">
      <c r="A21" s="34" t="s">
        <v>157</v>
      </c>
      <c r="B21" s="35">
        <v>12</v>
      </c>
    </row>
    <row r="22" spans="1:2" x14ac:dyDescent="0.25">
      <c r="A22" s="34" t="s">
        <v>158</v>
      </c>
      <c r="B22" s="33">
        <v>9</v>
      </c>
    </row>
    <row r="23" spans="1:2" x14ac:dyDescent="0.25">
      <c r="A23" s="34" t="s">
        <v>159</v>
      </c>
      <c r="B23" s="33">
        <v>6</v>
      </c>
    </row>
    <row r="24" spans="1:2" x14ac:dyDescent="0.25">
      <c r="A24" s="34" t="s">
        <v>160</v>
      </c>
      <c r="B24" s="33">
        <v>4.8</v>
      </c>
    </row>
    <row r="25" spans="1:2" x14ac:dyDescent="0.25">
      <c r="A25" s="34" t="s">
        <v>161</v>
      </c>
      <c r="B25" s="33">
        <v>3</v>
      </c>
    </row>
    <row r="26" spans="1:2" x14ac:dyDescent="0.25">
      <c r="A26" s="33" t="s">
        <v>115</v>
      </c>
      <c r="B26" s="33">
        <v>8</v>
      </c>
    </row>
    <row r="27" spans="1:2" x14ac:dyDescent="0.25">
      <c r="A27" s="33" t="s">
        <v>116</v>
      </c>
      <c r="B27" s="33">
        <v>6</v>
      </c>
    </row>
    <row r="28" spans="1:2" x14ac:dyDescent="0.25">
      <c r="A28" s="33" t="s">
        <v>117</v>
      </c>
      <c r="B28" s="33">
        <v>4</v>
      </c>
    </row>
    <row r="29" spans="1:2" x14ac:dyDescent="0.25">
      <c r="A29" s="33" t="s">
        <v>118</v>
      </c>
      <c r="B29" s="33">
        <v>3.2</v>
      </c>
    </row>
    <row r="30" spans="1:2" x14ac:dyDescent="0.25">
      <c r="A30" s="33" t="s">
        <v>119</v>
      </c>
      <c r="B30" s="33">
        <v>2</v>
      </c>
    </row>
    <row r="31" spans="1:2" x14ac:dyDescent="0.25">
      <c r="A31" s="33" t="s">
        <v>120</v>
      </c>
      <c r="B31" s="33">
        <v>6</v>
      </c>
    </row>
    <row r="32" spans="1:2" x14ac:dyDescent="0.25">
      <c r="A32" s="33" t="s">
        <v>121</v>
      </c>
      <c r="B32" s="33">
        <v>4.5</v>
      </c>
    </row>
    <row r="33" spans="1:2" x14ac:dyDescent="0.25">
      <c r="A33" s="33" t="s">
        <v>122</v>
      </c>
      <c r="B33" s="33">
        <v>3</v>
      </c>
    </row>
    <row r="34" spans="1:2" x14ac:dyDescent="0.25">
      <c r="A34" s="33" t="s">
        <v>123</v>
      </c>
      <c r="B34" s="33">
        <v>2.4000000000000004</v>
      </c>
    </row>
    <row r="35" spans="1:2" x14ac:dyDescent="0.25">
      <c r="A35" s="33" t="s">
        <v>124</v>
      </c>
      <c r="B35" s="33">
        <v>1.5</v>
      </c>
    </row>
    <row r="36" spans="1:2" x14ac:dyDescent="0.25">
      <c r="A36" s="33" t="s">
        <v>125</v>
      </c>
      <c r="B36" s="33">
        <v>2</v>
      </c>
    </row>
    <row r="37" spans="1:2" x14ac:dyDescent="0.25">
      <c r="A37" s="33" t="s">
        <v>126</v>
      </c>
      <c r="B37" s="33">
        <v>1.5</v>
      </c>
    </row>
    <row r="38" spans="1:2" x14ac:dyDescent="0.25">
      <c r="A38" s="33" t="s">
        <v>127</v>
      </c>
      <c r="B38" s="33">
        <v>1</v>
      </c>
    </row>
    <row r="39" spans="1:2" x14ac:dyDescent="0.25">
      <c r="A39" s="33" t="s">
        <v>128</v>
      </c>
      <c r="B39" s="33">
        <v>0.8</v>
      </c>
    </row>
    <row r="40" spans="1:2" x14ac:dyDescent="0.25">
      <c r="A40" s="33" t="s">
        <v>129</v>
      </c>
      <c r="B40" s="33">
        <v>0.5</v>
      </c>
    </row>
    <row r="41" spans="1:2" x14ac:dyDescent="0.25">
      <c r="A41" s="33" t="s">
        <v>130</v>
      </c>
      <c r="B41" s="33">
        <v>6</v>
      </c>
    </row>
    <row r="42" spans="1:2" x14ac:dyDescent="0.25">
      <c r="A42" s="33" t="s">
        <v>131</v>
      </c>
      <c r="B42" s="33">
        <v>4.5</v>
      </c>
    </row>
    <row r="43" spans="1:2" x14ac:dyDescent="0.25">
      <c r="A43" s="33" t="s">
        <v>132</v>
      </c>
      <c r="B43" s="33">
        <v>3</v>
      </c>
    </row>
    <row r="44" spans="1:2" x14ac:dyDescent="0.25">
      <c r="A44" s="33" t="s">
        <v>133</v>
      </c>
      <c r="B44" s="33">
        <v>2.4000000000000004</v>
      </c>
    </row>
    <row r="45" spans="1:2" x14ac:dyDescent="0.25">
      <c r="A45" s="33" t="s">
        <v>134</v>
      </c>
      <c r="B45" s="33">
        <v>1.5</v>
      </c>
    </row>
    <row r="46" spans="1:2" x14ac:dyDescent="0.25">
      <c r="A46" s="33" t="s">
        <v>135</v>
      </c>
      <c r="B46" s="33">
        <v>6</v>
      </c>
    </row>
    <row r="47" spans="1:2" x14ac:dyDescent="0.25">
      <c r="A47" s="33" t="s">
        <v>136</v>
      </c>
      <c r="B47" s="33">
        <v>4.5</v>
      </c>
    </row>
    <row r="48" spans="1:2" x14ac:dyDescent="0.25">
      <c r="A48" s="33" t="s">
        <v>137</v>
      </c>
      <c r="B48" s="33">
        <v>3</v>
      </c>
    </row>
    <row r="49" spans="1:2" x14ac:dyDescent="0.25">
      <c r="A49" s="33" t="s">
        <v>138</v>
      </c>
      <c r="B49" s="33">
        <v>2.4000000000000004</v>
      </c>
    </row>
    <row r="50" spans="1:2" x14ac:dyDescent="0.25">
      <c r="A50" s="33" t="s">
        <v>139</v>
      </c>
      <c r="B50" s="33">
        <v>1.5</v>
      </c>
    </row>
    <row r="51" spans="1:2" x14ac:dyDescent="0.25">
      <c r="A51" s="33" t="s">
        <v>140</v>
      </c>
      <c r="B51" s="33">
        <v>8</v>
      </c>
    </row>
    <row r="52" spans="1:2" x14ac:dyDescent="0.25">
      <c r="A52" s="33" t="s">
        <v>141</v>
      </c>
      <c r="B52" s="33">
        <v>6</v>
      </c>
    </row>
    <row r="53" spans="1:2" x14ac:dyDescent="0.25">
      <c r="A53" s="33" t="s">
        <v>142</v>
      </c>
      <c r="B53" s="33">
        <v>4</v>
      </c>
    </row>
    <row r="54" spans="1:2" x14ac:dyDescent="0.25">
      <c r="A54" s="33" t="s">
        <v>143</v>
      </c>
      <c r="B54" s="33">
        <v>3.2</v>
      </c>
    </row>
    <row r="55" spans="1:2" x14ac:dyDescent="0.25">
      <c r="A55" s="33" t="s">
        <v>144</v>
      </c>
      <c r="B55" s="33">
        <v>2</v>
      </c>
    </row>
    <row r="56" spans="1:2" x14ac:dyDescent="0.25">
      <c r="A56" s="34" t="s">
        <v>162</v>
      </c>
      <c r="B56" s="35">
        <v>10</v>
      </c>
    </row>
    <row r="57" spans="1:2" x14ac:dyDescent="0.25">
      <c r="A57" s="34" t="s">
        <v>163</v>
      </c>
      <c r="B57" s="33">
        <v>7.5</v>
      </c>
    </row>
    <row r="58" spans="1:2" x14ac:dyDescent="0.25">
      <c r="A58" s="34" t="s">
        <v>164</v>
      </c>
      <c r="B58" s="33">
        <v>5</v>
      </c>
    </row>
    <row r="59" spans="1:2" x14ac:dyDescent="0.25">
      <c r="A59" s="34" t="s">
        <v>165</v>
      </c>
      <c r="B59" s="33">
        <v>4</v>
      </c>
    </row>
    <row r="60" spans="1:2" x14ac:dyDescent="0.25">
      <c r="A60" s="34" t="s">
        <v>166</v>
      </c>
      <c r="B60" s="33">
        <v>2.5</v>
      </c>
    </row>
    <row r="61" spans="1:2" x14ac:dyDescent="0.25">
      <c r="A61" s="33" t="s">
        <v>145</v>
      </c>
      <c r="B61" s="33">
        <v>4</v>
      </c>
    </row>
    <row r="62" spans="1:2" x14ac:dyDescent="0.25">
      <c r="A62" s="33" t="s">
        <v>146</v>
      </c>
      <c r="B62" s="33">
        <v>3</v>
      </c>
    </row>
    <row r="63" spans="1:2" x14ac:dyDescent="0.25">
      <c r="A63" s="33" t="s">
        <v>147</v>
      </c>
      <c r="B63" s="33">
        <v>2</v>
      </c>
    </row>
    <row r="64" spans="1:2" x14ac:dyDescent="0.25">
      <c r="A64" s="33" t="s">
        <v>148</v>
      </c>
      <c r="B64" s="33">
        <v>1.6</v>
      </c>
    </row>
    <row r="65" spans="1:2" x14ac:dyDescent="0.25">
      <c r="A65" s="33" t="s">
        <v>149</v>
      </c>
      <c r="B65" s="33">
        <v>1</v>
      </c>
    </row>
    <row r="66" spans="1:2" x14ac:dyDescent="0.25">
      <c r="A66" s="33" t="s">
        <v>150</v>
      </c>
      <c r="B66" s="33">
        <v>4</v>
      </c>
    </row>
    <row r="67" spans="1:2" x14ac:dyDescent="0.25">
      <c r="A67" s="33" t="s">
        <v>151</v>
      </c>
      <c r="B67" s="33">
        <v>3</v>
      </c>
    </row>
    <row r="68" spans="1:2" x14ac:dyDescent="0.25">
      <c r="A68" s="33" t="s">
        <v>152</v>
      </c>
      <c r="B68" s="33">
        <v>2</v>
      </c>
    </row>
    <row r="69" spans="1:2" x14ac:dyDescent="0.25">
      <c r="A69" s="33" t="s">
        <v>153</v>
      </c>
      <c r="B69" s="33">
        <v>1.6</v>
      </c>
    </row>
    <row r="70" spans="1:2" x14ac:dyDescent="0.25">
      <c r="A70" s="33" t="s">
        <v>154</v>
      </c>
      <c r="B70" s="33">
        <v>1</v>
      </c>
    </row>
  </sheetData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工时评估汇总表 </vt:lpstr>
      <vt:lpstr>工时评估明细表</vt:lpstr>
      <vt:lpstr>工时标准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86183</dc:creator>
  <cp:lastModifiedBy>胜男 赵</cp:lastModifiedBy>
  <dcterms:created xsi:type="dcterms:W3CDTF">2024-05-09T02:44:06Z</dcterms:created>
  <dcterms:modified xsi:type="dcterms:W3CDTF">2024-05-10T05:50:12Z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3AD97D220C984CF993654C3A48D33ABD_11</vt:lpwstr>
  </property>
  <property fmtid="{D5CDD505-2E9C-101B-9397-08002B2CF9AE}" pid="3" name="KSOProductBuildVer">
    <vt:lpwstr>2052-12.1.0.16729</vt:lpwstr>
  </property>
</Properties>
</file>