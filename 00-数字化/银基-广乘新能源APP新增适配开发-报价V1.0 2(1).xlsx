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junyong/Desktop/"/>
    </mc:Choice>
  </mc:AlternateContent>
  <xr:revisionPtr revIDLastSave="0" documentId="13_ncr:1_{7E4B6F58-B8EC-9B48-A016-9EFE110A126E}" xr6:coauthVersionLast="46" xr6:coauthVersionMax="47" xr10:uidLastSave="{00000000-0000-0000-0000-000000000000}"/>
  <bookViews>
    <workbookView xWindow="0" yWindow="460" windowWidth="33600" windowHeight="19400" xr2:uid="{00000000-000D-0000-FFFF-FFFF00000000}"/>
  </bookViews>
  <sheets>
    <sheet name="功能报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24" i="1" l="1"/>
  <c r="G23" i="1"/>
  <c r="G18" i="1"/>
  <c r="G21" i="1"/>
  <c r="G17" i="1"/>
  <c r="G16" i="1"/>
  <c r="G14" i="1"/>
  <c r="G13" i="1"/>
  <c r="G15" i="1"/>
  <c r="G26" i="1" l="1"/>
</calcChain>
</file>

<file path=xl/sharedStrings.xml><?xml version="1.0" encoding="utf-8"?>
<sst xmlns="http://schemas.openxmlformats.org/spreadsheetml/2006/main" count="68" uniqueCount="57">
  <si>
    <t>功能描述</t>
    <phoneticPr fontId="2" type="noConversion"/>
  </si>
  <si>
    <t>功能名称</t>
    <phoneticPr fontId="2" type="noConversion"/>
  </si>
  <si>
    <t>功能模块</t>
    <phoneticPr fontId="2" type="noConversion"/>
  </si>
  <si>
    <t>单价（元）</t>
    <phoneticPr fontId="2" type="noConversion"/>
  </si>
  <si>
    <t>备注</t>
    <phoneticPr fontId="2" type="noConversion"/>
  </si>
  <si>
    <t>责任角色</t>
    <phoneticPr fontId="2" type="noConversion"/>
  </si>
  <si>
    <t>方案</t>
    <phoneticPr fontId="2" type="noConversion"/>
  </si>
  <si>
    <t>需求</t>
    <phoneticPr fontId="2" type="noConversion"/>
  </si>
  <si>
    <t>项目管理&amp;验收</t>
    <phoneticPr fontId="2" type="noConversion"/>
  </si>
  <si>
    <t>解决方案专家</t>
    <phoneticPr fontId="2" type="noConversion"/>
  </si>
  <si>
    <t>产品经理</t>
    <phoneticPr fontId="2" type="noConversion"/>
  </si>
  <si>
    <t>高级研发工程师</t>
    <phoneticPr fontId="2" type="noConversion"/>
  </si>
  <si>
    <t>总价（元）</t>
    <phoneticPr fontId="2" type="noConversion"/>
  </si>
  <si>
    <t>人天</t>
    <phoneticPr fontId="2" type="noConversion"/>
  </si>
  <si>
    <t>差旅费用</t>
    <phoneticPr fontId="2" type="noConversion"/>
  </si>
  <si>
    <t>出差</t>
    <phoneticPr fontId="2" type="noConversion"/>
  </si>
  <si>
    <t>需求调研、需求整理</t>
    <phoneticPr fontId="2" type="noConversion"/>
  </si>
  <si>
    <t>SDK适配开发</t>
    <phoneticPr fontId="2" type="noConversion"/>
  </si>
  <si>
    <t>整体测试</t>
    <phoneticPr fontId="2" type="noConversion"/>
  </si>
  <si>
    <t>DK云端适配</t>
    <phoneticPr fontId="2" type="noConversion"/>
  </si>
  <si>
    <t>项目实施管理、上线发布、验收报告</t>
    <phoneticPr fontId="2" type="noConversion"/>
  </si>
  <si>
    <t>手机租赁</t>
    <phoneticPr fontId="2" type="noConversion"/>
  </si>
  <si>
    <t>安卓SDK-配合APP进行开发（2.5平台）</t>
    <phoneticPr fontId="2" type="noConversion"/>
  </si>
  <si>
    <t>IOS-SDK-配合APP进行开发（3.0平台）</t>
    <phoneticPr fontId="2" type="noConversion"/>
  </si>
  <si>
    <t>安卓SDK-配合APP进行开发（3.0平台）</t>
    <phoneticPr fontId="2" type="noConversion"/>
  </si>
  <si>
    <t>方案设计、规划、前期会议交流</t>
    <phoneticPr fontId="2" type="noConversion"/>
  </si>
  <si>
    <t>IOS-SDK-配合APP进行开发（2.5平台）</t>
    <phoneticPr fontId="2" type="noConversion"/>
  </si>
  <si>
    <t>高级研发工程师</t>
  </si>
  <si>
    <t>APP开发后集成测试</t>
    <phoneticPr fontId="2" type="noConversion"/>
  </si>
  <si>
    <t>SDK内部测试、手机兼容性测试（30款-100款）</t>
    <phoneticPr fontId="2" type="noConversion"/>
  </si>
  <si>
    <t>项目管理、发布、验收报告</t>
    <phoneticPr fontId="2" type="noConversion"/>
  </si>
  <si>
    <t>研发、测试</t>
    <phoneticPr fontId="2" type="noConversion"/>
  </si>
  <si>
    <t>项目经理</t>
    <phoneticPr fontId="2" type="noConversion"/>
  </si>
  <si>
    <t>测试工程师</t>
    <phoneticPr fontId="2" type="noConversion"/>
  </si>
  <si>
    <t>试运行</t>
    <phoneticPr fontId="2" type="noConversion"/>
  </si>
  <si>
    <t>上线后问题排查</t>
    <phoneticPr fontId="2" type="noConversion"/>
  </si>
  <si>
    <t>上线后问题排查和配合解决</t>
    <phoneticPr fontId="2" type="noConversion"/>
  </si>
  <si>
    <t>研发工程师</t>
    <phoneticPr fontId="2" type="noConversion"/>
  </si>
  <si>
    <t>租赁50款-70款手机费用</t>
    <phoneticPr fontId="2" type="noConversion"/>
  </si>
  <si>
    <t>广汽乘用车-新能源APP-新增适配项目报价明细</t>
    <phoneticPr fontId="2" type="noConversion"/>
  </si>
  <si>
    <t>配合新增APP侧进行开发、问题答疑、技术配合调试</t>
    <phoneticPr fontId="2" type="noConversion"/>
  </si>
  <si>
    <t>配合新增APP侧进行开发、问题答疑、技术配合调试</t>
    <phoneticPr fontId="2" type="noConversion"/>
  </si>
  <si>
    <t>新增APPid的配置、云端接口适配和调试</t>
    <phoneticPr fontId="2" type="noConversion"/>
  </si>
  <si>
    <t>云端适配新增的APP</t>
    <phoneticPr fontId="2" type="noConversion"/>
  </si>
  <si>
    <t>SDK新增测试（2.5平台+3.0平台）</t>
    <phoneticPr fontId="2" type="noConversion"/>
  </si>
  <si>
    <t>APP新增集成测试（2.5平台+3.0平台）</t>
    <phoneticPr fontId="2" type="noConversion"/>
  </si>
  <si>
    <t>实车新增测试（2.5平台+3.0平台）</t>
    <phoneticPr fontId="2" type="noConversion"/>
  </si>
  <si>
    <t>新增测试报告（2.5平台+3.0平台）</t>
    <phoneticPr fontId="2" type="noConversion"/>
  </si>
  <si>
    <t>新增手机租赁</t>
    <phoneticPr fontId="2" type="noConversion"/>
  </si>
  <si>
    <t>总报价（含税，税率6%）：</t>
    <phoneticPr fontId="2" type="noConversion"/>
  </si>
  <si>
    <t>名称: 上海银基信息安全股份有限公司</t>
  </si>
  <si>
    <t>地址: 上海市浦东新区张东路1387号34幢</t>
  </si>
  <si>
    <t>销售代表：易城(13822138970)</t>
  </si>
  <si>
    <t>邮件地址：cheng.yi@ingeek.com</t>
  </si>
  <si>
    <t>时间：2024年1月10日</t>
    <phoneticPr fontId="2" type="noConversion"/>
  </si>
  <si>
    <t>本次新增整体实车测试</t>
    <phoneticPr fontId="2" type="noConversion"/>
  </si>
  <si>
    <t>就本次新增输出测试报告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</si>
</sst>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0"/>
      <color theme="1"/>
      <name val="等线"/>
      <family val="2"/>
      <scheme val="minor"/>
    </font>
    <font>
      <b/>
      <sz val="10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C00000"/>
      <name val="等线"/>
      <family val="4"/>
      <charset val="134"/>
      <scheme val="minor"/>
    </font>
    <font>
      <sz val="12"/>
      <name val="宋体"/>
      <family val="3"/>
      <charset val="134"/>
    </font>
    <font>
      <sz val="1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0" fillId="0" borderId="0" xfId="0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 wrapText="1"/>
    </xf>
    <xf numFmtId="176" fontId="9" fillId="2" borderId="0" xfId="0" applyNumberFormat="1" applyFont="1" applyFill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532871</xdr:colOff>
      <xdr:row>3</xdr:row>
      <xdr:rowOff>127001</xdr:rowOff>
    </xdr:from>
    <xdr:to>
      <xdr:col>7</xdr:col>
      <xdr:colOff>943853</xdr:colOff>
      <xdr:row>6</xdr:row>
      <xdr:rowOff>35984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67B1D05A-872E-4118-9DD3-5F8F5A18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72371" y="889001"/>
          <a:ext cx="2347732" cy="480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zoomScale="90" zoomScaleNormal="90" workbookViewId="0">
      <selection activeCell="C13" sqref="C13"/>
    </sheetView>
  </sheetViews>
  <sheetFormatPr baseColWidth="10" defaultColWidth="14" defaultRowHeight="13"/>
  <cols>
    <col min="1" max="1" width="21" customWidth="1"/>
    <col min="2" max="2" width="51.19921875" customWidth="1"/>
    <col min="3" max="3" width="61" customWidth="1"/>
    <col min="4" max="4" width="21.3984375" style="2" customWidth="1"/>
    <col min="7" max="7" width="15" style="2" bestFit="1" customWidth="1"/>
    <col min="8" max="8" width="15.19921875" customWidth="1"/>
  </cols>
  <sheetData>
    <row r="1" spans="1:21" ht="28.5" customHeight="1">
      <c r="A1" s="34"/>
      <c r="B1" s="34"/>
      <c r="C1" s="34"/>
      <c r="D1" s="34"/>
      <c r="E1" s="34"/>
      <c r="F1" s="34"/>
      <c r="G1" s="34"/>
      <c r="H1" s="34"/>
    </row>
    <row r="2" spans="1:21" s="18" customFormat="1" ht="16">
      <c r="A2" s="15" t="s">
        <v>50</v>
      </c>
      <c r="B2" s="15"/>
      <c r="C2" s="16"/>
      <c r="D2" s="17"/>
      <c r="E2" s="30"/>
      <c r="F2" s="30"/>
      <c r="G2" s="31"/>
      <c r="H2" s="31"/>
    </row>
    <row r="3" spans="1:21" s="18" customFormat="1" ht="16">
      <c r="A3" s="15" t="s">
        <v>51</v>
      </c>
      <c r="B3" s="15"/>
      <c r="C3" s="19"/>
      <c r="D3" s="19"/>
      <c r="E3" s="30"/>
      <c r="F3" s="30"/>
      <c r="G3" s="31"/>
      <c r="H3" s="31"/>
    </row>
    <row r="4" spans="1:21" s="18" customFormat="1" ht="16">
      <c r="A4" s="20" t="s">
        <v>54</v>
      </c>
      <c r="B4" s="20"/>
      <c r="C4" s="19"/>
      <c r="D4" s="19"/>
      <c r="E4" s="30"/>
      <c r="F4" s="30"/>
      <c r="G4" s="31"/>
      <c r="H4" s="31"/>
    </row>
    <row r="5" spans="1:21" s="18" customFormat="1" ht="16">
      <c r="A5" s="20" t="s">
        <v>52</v>
      </c>
      <c r="B5" s="20"/>
      <c r="C5" s="19"/>
      <c r="D5" s="19"/>
      <c r="E5" s="30"/>
      <c r="F5" s="30"/>
      <c r="G5" s="31"/>
      <c r="H5" s="31"/>
    </row>
    <row r="6" spans="1:21" s="18" customFormat="1" ht="16">
      <c r="A6" s="20" t="s">
        <v>53</v>
      </c>
      <c r="B6" s="20"/>
      <c r="C6" s="21"/>
      <c r="D6" s="22"/>
      <c r="E6" s="30"/>
      <c r="F6" s="30"/>
      <c r="G6" s="31"/>
      <c r="H6" s="31"/>
    </row>
    <row r="7" spans="1:21" ht="11.25" customHeight="1">
      <c r="E7" s="32"/>
      <c r="F7" s="32"/>
      <c r="G7" s="33"/>
      <c r="H7" s="32"/>
    </row>
    <row r="8" spans="1:21" hidden="1"/>
    <row r="9" spans="1:21" ht="42.75" customHeight="1">
      <c r="A9" s="50" t="s">
        <v>39</v>
      </c>
      <c r="B9" s="51"/>
      <c r="C9" s="51"/>
      <c r="D9" s="51"/>
      <c r="E9" s="51"/>
      <c r="F9" s="51"/>
      <c r="G9" s="51"/>
      <c r="H9" s="52"/>
    </row>
    <row r="10" spans="1:21" ht="34.25" customHeight="1">
      <c r="A10" s="23" t="s">
        <v>2</v>
      </c>
      <c r="B10" s="23" t="s">
        <v>1</v>
      </c>
      <c r="C10" s="23" t="s">
        <v>0</v>
      </c>
      <c r="D10" s="23" t="s">
        <v>5</v>
      </c>
      <c r="E10" s="24" t="s">
        <v>3</v>
      </c>
      <c r="F10" s="24" t="s">
        <v>13</v>
      </c>
      <c r="G10" s="24" t="s">
        <v>12</v>
      </c>
      <c r="H10" s="24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9">
      <c r="A11" s="35" t="s">
        <v>7</v>
      </c>
      <c r="B11" s="3" t="s">
        <v>6</v>
      </c>
      <c r="C11" s="3" t="s">
        <v>25</v>
      </c>
      <c r="D11" s="4" t="s">
        <v>9</v>
      </c>
      <c r="E11" s="41">
        <v>3000</v>
      </c>
      <c r="F11" s="53">
        <v>5</v>
      </c>
      <c r="G11" s="41">
        <f>E11*F11</f>
        <v>15000</v>
      </c>
      <c r="H11" s="5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30" customHeight="1">
      <c r="A12" s="37"/>
      <c r="B12" s="3" t="s">
        <v>7</v>
      </c>
      <c r="C12" s="3" t="s">
        <v>16</v>
      </c>
      <c r="D12" s="4" t="s">
        <v>10</v>
      </c>
      <c r="E12" s="43"/>
      <c r="F12" s="54"/>
      <c r="G12" s="43"/>
      <c r="H12" s="5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4" customHeight="1">
      <c r="A13" s="35" t="s">
        <v>17</v>
      </c>
      <c r="B13" s="3" t="s">
        <v>22</v>
      </c>
      <c r="C13" s="3" t="s">
        <v>40</v>
      </c>
      <c r="D13" s="4" t="s">
        <v>11</v>
      </c>
      <c r="E13" s="25">
        <v>3000</v>
      </c>
      <c r="F13" s="14">
        <v>12</v>
      </c>
      <c r="G13" s="25">
        <f t="shared" ref="G13:G18" si="0">E13*F13</f>
        <v>36000</v>
      </c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34" customHeight="1">
      <c r="A14" s="36"/>
      <c r="B14" s="3" t="s">
        <v>26</v>
      </c>
      <c r="C14" s="3" t="s">
        <v>40</v>
      </c>
      <c r="D14" s="4" t="s">
        <v>27</v>
      </c>
      <c r="E14" s="25">
        <v>3000</v>
      </c>
      <c r="F14" s="14">
        <v>12</v>
      </c>
      <c r="G14" s="25">
        <f t="shared" si="0"/>
        <v>36000</v>
      </c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34" customHeight="1">
      <c r="A15" s="36"/>
      <c r="B15" s="3" t="s">
        <v>24</v>
      </c>
      <c r="C15" s="3" t="s">
        <v>41</v>
      </c>
      <c r="D15" s="4" t="s">
        <v>11</v>
      </c>
      <c r="E15" s="26">
        <v>3000</v>
      </c>
      <c r="F15" s="5">
        <v>18</v>
      </c>
      <c r="G15" s="26">
        <f t="shared" si="0"/>
        <v>54000</v>
      </c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34" customHeight="1">
      <c r="A16" s="37"/>
      <c r="B16" s="3" t="s">
        <v>23</v>
      </c>
      <c r="C16" s="3" t="s">
        <v>40</v>
      </c>
      <c r="D16" s="12" t="s">
        <v>11</v>
      </c>
      <c r="E16" s="26">
        <v>3000</v>
      </c>
      <c r="F16" s="13">
        <v>18</v>
      </c>
      <c r="G16" s="27">
        <f t="shared" si="0"/>
        <v>54000</v>
      </c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34" customHeight="1">
      <c r="A17" s="4" t="s">
        <v>19</v>
      </c>
      <c r="B17" s="3" t="s">
        <v>43</v>
      </c>
      <c r="C17" s="3" t="s">
        <v>42</v>
      </c>
      <c r="D17" s="12" t="s">
        <v>11</v>
      </c>
      <c r="E17" s="27">
        <v>3000</v>
      </c>
      <c r="F17" s="13">
        <v>15</v>
      </c>
      <c r="G17" s="27">
        <f t="shared" si="0"/>
        <v>45000</v>
      </c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9" customHeight="1">
      <c r="A18" s="35" t="s">
        <v>18</v>
      </c>
      <c r="B18" s="6" t="s">
        <v>44</v>
      </c>
      <c r="C18" s="6" t="s">
        <v>29</v>
      </c>
      <c r="D18" s="4" t="s">
        <v>33</v>
      </c>
      <c r="E18" s="41">
        <v>2500</v>
      </c>
      <c r="F18" s="38">
        <v>100</v>
      </c>
      <c r="G18" s="44">
        <f t="shared" si="0"/>
        <v>250000</v>
      </c>
      <c r="H18" s="7"/>
    </row>
    <row r="19" spans="1:21" ht="30" customHeight="1">
      <c r="A19" s="36"/>
      <c r="B19" s="8" t="s">
        <v>45</v>
      </c>
      <c r="C19" s="6" t="s">
        <v>28</v>
      </c>
      <c r="D19" s="4" t="s">
        <v>33</v>
      </c>
      <c r="E19" s="42"/>
      <c r="F19" s="39"/>
      <c r="G19" s="45"/>
      <c r="H19" s="7"/>
    </row>
    <row r="20" spans="1:21" ht="27" customHeight="1">
      <c r="A20" s="36"/>
      <c r="B20" s="8" t="s">
        <v>46</v>
      </c>
      <c r="C20" s="6" t="s">
        <v>55</v>
      </c>
      <c r="D20" s="4" t="s">
        <v>33</v>
      </c>
      <c r="E20" s="43"/>
      <c r="F20" s="40"/>
      <c r="G20" s="46"/>
      <c r="H20" s="7"/>
    </row>
    <row r="21" spans="1:21" ht="31" customHeight="1">
      <c r="A21" s="37"/>
      <c r="B21" s="8" t="s">
        <v>47</v>
      </c>
      <c r="C21" s="6" t="s">
        <v>56</v>
      </c>
      <c r="D21" s="4" t="s">
        <v>33</v>
      </c>
      <c r="E21" s="26">
        <v>2500</v>
      </c>
      <c r="F21" s="11">
        <v>8</v>
      </c>
      <c r="G21" s="28">
        <f>E21*F21</f>
        <v>20000</v>
      </c>
      <c r="H21" s="7"/>
    </row>
    <row r="22" spans="1:21" ht="33" customHeight="1">
      <c r="A22" s="5" t="s">
        <v>21</v>
      </c>
      <c r="B22" s="9" t="s">
        <v>48</v>
      </c>
      <c r="C22" s="9" t="s">
        <v>38</v>
      </c>
      <c r="D22" s="4" t="s">
        <v>33</v>
      </c>
      <c r="E22" s="26">
        <v>0</v>
      </c>
      <c r="F22" s="11">
        <v>0</v>
      </c>
      <c r="G22" s="28">
        <v>20000</v>
      </c>
      <c r="H22" s="7"/>
    </row>
    <row r="23" spans="1:21" ht="31" customHeight="1">
      <c r="A23" s="5" t="s">
        <v>8</v>
      </c>
      <c r="B23" s="9" t="s">
        <v>30</v>
      </c>
      <c r="C23" s="9" t="s">
        <v>20</v>
      </c>
      <c r="D23" s="4" t="s">
        <v>32</v>
      </c>
      <c r="E23" s="26">
        <v>3000</v>
      </c>
      <c r="F23" s="11">
        <v>8</v>
      </c>
      <c r="G23" s="28">
        <f>E23*F23</f>
        <v>24000</v>
      </c>
      <c r="H23" s="7"/>
    </row>
    <row r="24" spans="1:21" ht="31" customHeight="1">
      <c r="A24" s="5" t="s">
        <v>34</v>
      </c>
      <c r="B24" s="9" t="s">
        <v>35</v>
      </c>
      <c r="C24" s="9" t="s">
        <v>36</v>
      </c>
      <c r="D24" s="4" t="s">
        <v>37</v>
      </c>
      <c r="E24" s="26">
        <v>3000</v>
      </c>
      <c r="F24" s="11">
        <v>10</v>
      </c>
      <c r="G24" s="28">
        <f>E24*F24</f>
        <v>30000</v>
      </c>
      <c r="H24" s="7"/>
    </row>
    <row r="25" spans="1:21" ht="41" customHeight="1">
      <c r="A25" s="11" t="s">
        <v>14</v>
      </c>
      <c r="B25" s="7" t="s">
        <v>15</v>
      </c>
      <c r="C25" s="7" t="s">
        <v>15</v>
      </c>
      <c r="D25" s="11" t="s">
        <v>31</v>
      </c>
      <c r="E25" s="28">
        <v>0</v>
      </c>
      <c r="F25" s="11">
        <v>0</v>
      </c>
      <c r="G25" s="28">
        <v>10000</v>
      </c>
      <c r="H25" s="11"/>
    </row>
    <row r="26" spans="1:21" ht="31" customHeight="1">
      <c r="A26" s="47" t="s">
        <v>49</v>
      </c>
      <c r="B26" s="48"/>
      <c r="C26" s="48"/>
      <c r="D26" s="48"/>
      <c r="E26" s="48"/>
      <c r="F26" s="49"/>
      <c r="G26" s="29">
        <f>SUM(G11:G25)</f>
        <v>594000</v>
      </c>
      <c r="H26" s="10"/>
    </row>
  </sheetData>
  <mergeCells count="13">
    <mergeCell ref="A26:F26"/>
    <mergeCell ref="A13:A16"/>
    <mergeCell ref="A9:H9"/>
    <mergeCell ref="A11:A12"/>
    <mergeCell ref="E11:E12"/>
    <mergeCell ref="F11:F12"/>
    <mergeCell ref="G11:G12"/>
    <mergeCell ref="H11:H12"/>
    <mergeCell ref="A1:H1"/>
    <mergeCell ref="A18:A21"/>
    <mergeCell ref="F18:F20"/>
    <mergeCell ref="E18:E20"/>
    <mergeCell ref="G18:G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2024-03-26T12:40:29Z</dcterms:modified>
</cp:coreProperties>
</file>